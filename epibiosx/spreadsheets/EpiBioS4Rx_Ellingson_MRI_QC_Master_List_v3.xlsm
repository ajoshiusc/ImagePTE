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Y:\EpiBios\EPIBIOS4RX CLINICAL TRIAL\MRI\MRI QC - Dr. Ben Ellingson\"/>
    </mc:Choice>
  </mc:AlternateContent>
  <bookViews>
    <workbookView xWindow="0" yWindow="0" windowWidth="25200" windowHeight="12435"/>
  </bookViews>
  <sheets>
    <sheet name="Sheet1" sheetId="1" r:id="rId1"/>
    <sheet name="Sheet2" sheetId="3" r:id="rId2"/>
  </sheets>
  <functionGroups builtInGroupCount="18"/>
  <definedNames>
    <definedName name="_xlnm._FilterDatabase" localSheetId="0" hidden="1">Sheet1!$A$9:$K$173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32" i="1" l="1"/>
  <c r="H222" i="1"/>
  <c r="G224" i="1"/>
  <c r="G220" i="1"/>
  <c r="F222" i="1"/>
  <c r="E224" i="1"/>
  <c r="B224" i="1"/>
  <c r="F220" i="1"/>
  <c r="B223" i="1"/>
  <c r="B220" i="1"/>
  <c r="H221" i="1"/>
  <c r="G223" i="1"/>
  <c r="G219" i="1"/>
  <c r="F221" i="1"/>
  <c r="E223" i="1"/>
  <c r="C222" i="1"/>
  <c r="F224" i="1"/>
  <c r="C221" i="1"/>
  <c r="H224" i="1"/>
  <c r="H220" i="1"/>
  <c r="C219" i="1"/>
  <c r="H223" i="1"/>
  <c r="H219" i="1"/>
  <c r="G221" i="1"/>
  <c r="F223" i="1"/>
  <c r="F219" i="1"/>
  <c r="E221" i="1"/>
  <c r="C224" i="1"/>
  <c r="C220" i="1"/>
  <c r="B222" i="1"/>
  <c r="E220" i="1"/>
  <c r="C223" i="1"/>
  <c r="B219" i="1"/>
  <c r="B221" i="1"/>
  <c r="E219" i="1"/>
  <c r="G222" i="1"/>
  <c r="E222" i="1"/>
  <c r="D221" i="1" l="1"/>
  <c r="D220" i="1"/>
  <c r="D222" i="1"/>
  <c r="D223" i="1"/>
  <c r="D224" i="1"/>
  <c r="D219" i="1"/>
  <c r="E137" i="1"/>
  <c r="E143" i="1"/>
  <c r="E147" i="1"/>
  <c r="E141" i="1"/>
  <c r="E140" i="1"/>
  <c r="E151" i="1" l="1"/>
  <c r="E139" i="1" l="1"/>
  <c r="E144" i="1"/>
  <c r="E146" i="1"/>
  <c r="E138" i="1"/>
  <c r="E148" i="1"/>
  <c r="E149" i="1"/>
  <c r="E136" i="1"/>
  <c r="E135" i="1"/>
  <c r="E145" i="1"/>
  <c r="E133" i="1"/>
  <c r="E126" i="1"/>
  <c r="E131" i="1"/>
  <c r="E122" i="1" l="1"/>
  <c r="E142" i="1"/>
  <c r="E105" i="1" l="1"/>
  <c r="E108" i="1"/>
  <c r="E109" i="1"/>
  <c r="E111" i="1"/>
  <c r="E112" i="1"/>
  <c r="E113" i="1"/>
  <c r="E114" i="1"/>
  <c r="E117" i="1"/>
  <c r="E118" i="1"/>
  <c r="E119" i="1"/>
  <c r="E120" i="1"/>
  <c r="E121" i="1"/>
  <c r="E124" i="1"/>
  <c r="E125" i="1"/>
  <c r="E130" i="1" l="1"/>
  <c r="E127" i="1"/>
  <c r="E103" i="1" l="1"/>
  <c r="E98" i="1"/>
  <c r="E99" i="1"/>
  <c r="E100" i="1"/>
  <c r="E101" i="1"/>
  <c r="E102" i="1"/>
  <c r="E97" i="1"/>
  <c r="E95" i="1"/>
  <c r="E94" i="1"/>
  <c r="E92" i="1"/>
  <c r="E91" i="1"/>
  <c r="E89" i="1"/>
  <c r="E90" i="1"/>
  <c r="E88" i="1"/>
  <c r="E87" i="1"/>
  <c r="E86" i="1"/>
  <c r="E85" i="1"/>
  <c r="E84" i="1"/>
  <c r="E83" i="1"/>
  <c r="E80" i="1"/>
  <c r="E79" i="1"/>
  <c r="E76" i="1"/>
  <c r="E82" i="1"/>
  <c r="E74" i="1"/>
  <c r="E73" i="1"/>
  <c r="E72" i="1"/>
  <c r="E71" i="1"/>
  <c r="E70" i="1"/>
  <c r="E69" i="1"/>
  <c r="E68" i="1"/>
  <c r="E66" i="1"/>
  <c r="E65" i="1"/>
  <c r="E64" i="1"/>
  <c r="E63" i="1"/>
  <c r="E62" i="1"/>
  <c r="E61" i="1"/>
  <c r="E59" i="1"/>
  <c r="E58" i="1"/>
  <c r="E57" i="1"/>
  <c r="E56" i="1"/>
  <c r="E54" i="1"/>
  <c r="E53" i="1"/>
  <c r="E52" i="1"/>
  <c r="E51" i="1"/>
  <c r="E50" i="1"/>
  <c r="E48" i="1"/>
  <c r="E47" i="1"/>
  <c r="E46" i="1"/>
  <c r="E43" i="1"/>
  <c r="E44" i="1"/>
  <c r="E42" i="1"/>
  <c r="E41" i="1"/>
  <c r="E40" i="1"/>
  <c r="E36" i="1"/>
  <c r="E37" i="1"/>
  <c r="E38" i="1"/>
  <c r="E35" i="1"/>
  <c r="E34" i="1"/>
  <c r="E33" i="1"/>
  <c r="E32" i="1"/>
  <c r="E31" i="1"/>
  <c r="E30" i="1"/>
  <c r="E29" i="1"/>
  <c r="E28" i="1"/>
  <c r="E26" i="1"/>
  <c r="E25" i="1"/>
  <c r="E24" i="1"/>
  <c r="E22" i="1"/>
  <c r="E23" i="1"/>
  <c r="E21" i="1"/>
  <c r="E19" i="1"/>
  <c r="E18" i="1"/>
  <c r="E17" i="1"/>
  <c r="E16" i="1"/>
  <c r="E15" i="1"/>
  <c r="E14" i="1"/>
  <c r="E12" i="1"/>
  <c r="E11" i="1"/>
  <c r="E10" i="1"/>
</calcChain>
</file>

<file path=xl/sharedStrings.xml><?xml version="1.0" encoding="utf-8"?>
<sst xmlns="http://schemas.openxmlformats.org/spreadsheetml/2006/main" count="1887" uniqueCount="204">
  <si>
    <t>Site ID</t>
  </si>
  <si>
    <t>Injury Date</t>
  </si>
  <si>
    <t>MRI Date</t>
  </si>
  <si>
    <t>PID</t>
  </si>
  <si>
    <t>3D T1</t>
  </si>
  <si>
    <t>3DT2</t>
  </si>
  <si>
    <t>3D FLAIR</t>
  </si>
  <si>
    <t>3D GRE/SWI</t>
  </si>
  <si>
    <t>DTI</t>
  </si>
  <si>
    <t>fMRI</t>
  </si>
  <si>
    <t>Slice thickness = 2mm. Please change to 1mm.</t>
  </si>
  <si>
    <t>Please change the flip angle from 90 degrees to 78 degrees.</t>
  </si>
  <si>
    <t>Not Performed</t>
  </si>
  <si>
    <t>n/a</t>
  </si>
  <si>
    <t>No SWI scan available (3D SPGRE uploaded is T1 weighted not T2* weighted)</t>
  </si>
  <si>
    <t>No 3D, only 3mm axial 2D TSE images.</t>
  </si>
  <si>
    <t>Flip angle 90 degrees.</t>
  </si>
  <si>
    <t>Slice thickness = 2mm.</t>
  </si>
  <si>
    <t>x - Interpolation to matrix of 80x80 (not 64x64). Pixel spacing is 2.75 not 3.75</t>
  </si>
  <si>
    <t>Slice thickness = 3mm; Pixel Spacing = 0.98mm</t>
  </si>
  <si>
    <t>slice thickness = 2 mm with -1mm gap</t>
  </si>
  <si>
    <t>Interpolation is on. Resolution is .5 x . 5 x 1.</t>
  </si>
  <si>
    <t>x - Interpolation to matrix of 256x256 (acquisition matrix = 116?). Pixel spacing is 0.94mm not 2mm</t>
  </si>
  <si>
    <t>Slice thickness = 5mm, not 1mm; Pixel Spacing = 0.5 not 1mm; Collected 2D, not 3D</t>
  </si>
  <si>
    <t>Slice thickness = 5 mm, not 1 mm; Collected 2D, not 3D</t>
  </si>
  <si>
    <t>No DTI, just DWI. Slice thickness = 5mm, not 2mm; Pixel Spacing = 1mm not 2mm</t>
  </si>
  <si>
    <t>No Apparent SWI</t>
  </si>
  <si>
    <t>Interpolation to matrix of 256x256 (acquisition matrix = 116?). Pixel spacing is 0.94mm</t>
  </si>
  <si>
    <t>Not EpiBioS4Rx Protocol</t>
  </si>
  <si>
    <t>Interpolation to matrix of 80x80 (not 64x64). Pixel spacing is 2.75 not 3.75</t>
  </si>
  <si>
    <t>Slice thickness = 0.9mm; Pixel Spacing = 0.24 (or 0.5)</t>
  </si>
  <si>
    <t xml:space="preserve">Slice thickness = 1.5mm, Pixel Spacing = 0.4 </t>
  </si>
  <si>
    <t>Slice thickness = 3mm, Pixel Spacing = 0.5</t>
  </si>
  <si>
    <t xml:space="preserve">Slice thickness = 10 mm, ; Pixel spacing = .45 mm </t>
  </si>
  <si>
    <t xml:space="preserve">No DTI, just DWI. Slice thickness = 4mm, ; Pixel Spacing = 0.mm </t>
  </si>
  <si>
    <t>In-plane resolution is .48mm x .48mm but acquisition matrix is 256x256. Please turn OFF interpolation.</t>
  </si>
  <si>
    <t>TR=2060ms. Please change to 2000ms if possible. Also please change the flip angle from 90 degrees to 78 degrees per protocol.</t>
  </si>
  <si>
    <t>Slice thickness = 2mm, not 1mm; Pixel spacing = 2mm not 1mm</t>
  </si>
  <si>
    <t>Slice thickness = 2 mm, not 1 mm; Pixel spacing = 2 mm not 1 mm</t>
  </si>
  <si>
    <t>TR = 3000ms not ~2000ms; Not enough temporal points (&lt;300)</t>
  </si>
  <si>
    <t xml:space="preserve">OK, but increase number of volumes from 300 to 304 per investigator request. OK, but please try to make slice thickness 3.4mm if possible. </t>
  </si>
  <si>
    <t>Resolution is 2x2x2mm, try for 1x1x1mm in future (1.5T)</t>
  </si>
  <si>
    <t>TE=45ms (required TE=25ms); TR = 3310ms (required 2000ms). Incorrect number of volumes and slices. Missing data</t>
  </si>
  <si>
    <t>Routine brain scan, not EpiBioS4Rx protocol. No axial images collected, only thick sagittal (5mm)</t>
  </si>
  <si>
    <t>2D axial (5mm) only</t>
  </si>
  <si>
    <t>GRE only. 2D axial (5mm) only.</t>
  </si>
  <si>
    <t>No DTI, DWI Only</t>
  </si>
  <si>
    <t>None</t>
  </si>
  <si>
    <t>Please turn off "interpolation." The current in-plane resolution is .5 x .5 mm and should be 1 x 1 mm.</t>
  </si>
  <si>
    <t>OK. Please increase the number of volumes from 300 to 304 per investigator recommendations.</t>
  </si>
  <si>
    <t>Slice thickness = .9mm. Please change to 1mm.</t>
  </si>
  <si>
    <t xml:space="preserve">Only a 10mm thickness MIP (maximum intensity projection) image was uploaded. Please upload 1mm slice thickness (raw) GRE/SWI images. Also, in-plane resolution was 0.6 x 0.6mm. Please change to 1mm x 1mm. </t>
  </si>
  <si>
    <t>Please change “interpolation” or “zero padding” from 80 x 80 matrix to 64 x 64 to better reflect the true resolution/matrix size of the images. Please increase the number of volumes from 300 to 304 per investigator recommendations</t>
  </si>
  <si>
    <t>Please turn off “interpolation”. The current in-plane resolution is 0.5mm x 0.5mm and should be 1 x 1mm</t>
  </si>
  <si>
    <t>Please change in-plane resolution from .88 x .88m to 1x1mm.</t>
  </si>
  <si>
    <t>slice thickness = 1.2mm. Please set to 1mm.</t>
  </si>
  <si>
    <t>Interslice gap = .5mm. For GE systems, please change to 1mm (center to center slice distance) for 1mm isotropic resolution.</t>
  </si>
  <si>
    <t>Slice thickness = 2.6mm. Please change to 2mm. In-plane resolution is .9 x .9 mm. Please change to 1x1mm.</t>
  </si>
  <si>
    <t>Please increase the number of volumes from 300 to 304 per investigator recommendations</t>
  </si>
  <si>
    <t xml:space="preserve">Interpolation is ON (In-plane resolution is ~0.5 x 0.5mm). Please turn OFF. </t>
  </si>
  <si>
    <t xml:space="preserve">Missing raw DTI data. Only ADC, TRACE, and FA are uploaded. </t>
  </si>
  <si>
    <t xml:space="preserve">Flip angle is 90 degrees. Should be set at 78 degrees. </t>
  </si>
  <si>
    <t>TR=2290ms. Per protocol, TR should be 2000ms</t>
  </si>
  <si>
    <t>Slice thickness is 4mm with 0.5mm gap. Should be 2mm with no interslice gap.</t>
  </si>
  <si>
    <t>TR=2070ms. Please change to 2000ms. Slice thickness = 4mm. OK, but please change to 3.4mm per investigator instructions.</t>
  </si>
  <si>
    <t>2mm slice thickness w/ 0mm interslice gap. Should be 1mm slice thickness. Also, in-plane resolution is 0.5mm x 0.5mm. Please turn off interpolation so resolution is 1mm x 1mm x 1mm.</t>
  </si>
  <si>
    <t xml:space="preserve">In-plane resolution is 0.93mm x 0.93mm. Please turn off interpolation. Also, there were issues with converting the DTI DICOM files – 8x b0 images and 63-64 b1000 directions (depending on the software used to convert it). 1) no need to collect the 8x b0 images (one will suffice). </t>
  </si>
  <si>
    <t>TR=2084. Please change to 2000. TE=30.9ms. Please change to 25ms. Flip angle = 90 degrees. Please change to 78 degrees.</t>
  </si>
  <si>
    <t>Significant superior-inferior wrap-around artifact. Consider increasing FOVz or increasing number of slices from 128 to ~160.</t>
  </si>
  <si>
    <t>Patient refused to complete the scan</t>
  </si>
  <si>
    <t>Not performed</t>
  </si>
  <si>
    <t>Only 21 slices and NOT full brain coverage (superior brain regions are not included). TR = 3000ms instead of the required TR=2000ms. TE was 45ms instead of the required 25ms. Flip angle was 80 degrees instead of 78 degrees (not critical). Only 204 time points were included instead of the required 304 (note that TR is longer than required, which likely led to fewer number of acquisitions).</t>
  </si>
  <si>
    <t>Slice thickness = 2 mm. Please change to 1 mm.</t>
  </si>
  <si>
    <t>In-plane resolution = 0.48x0.48. Please turn off interpolation.</t>
  </si>
  <si>
    <t>Flip angle = 90deg. Please change to 78deg per protocol.</t>
  </si>
  <si>
    <t>no fMRI</t>
  </si>
  <si>
    <t>no DTI, only DWI</t>
  </si>
  <si>
    <t>PENDING</t>
  </si>
  <si>
    <t>Sequence</t>
  </si>
  <si>
    <t>Compliant</t>
  </si>
  <si>
    <t>Compliant w/ Critiques</t>
  </si>
  <si>
    <t>Critiques, may not be comparable</t>
  </si>
  <si>
    <t>Failed QC</t>
  </si>
  <si>
    <t>Pending Review</t>
  </si>
  <si>
    <t>Not Compliant</t>
  </si>
  <si>
    <t>Pending</t>
  </si>
  <si>
    <t>3D T2</t>
  </si>
  <si>
    <t>OK</t>
  </si>
  <si>
    <t>Interpolation is turned on (1 x 1 mm in-plane resolution, should be 2 x 2 mm).</t>
  </si>
  <si>
    <t>x - OK, but Slice thickness = 1mm not 2mm</t>
  </si>
  <si>
    <t xml:space="preserve">Resolution is 2x2x2mm. Should be 1x1x1mm. OK, since it is 1.5T (see manual), but should try for 1mm isotropic in the future. </t>
  </si>
  <si>
    <t>No SWI</t>
  </si>
  <si>
    <t>No T2</t>
  </si>
  <si>
    <t>No FLAIR</t>
  </si>
  <si>
    <t>No DTI</t>
  </si>
  <si>
    <t>In-plane resolution = 0.5x0.5mm. Turn off interpolation. Should be 1x1mm</t>
  </si>
  <si>
    <t xml:space="preserve">In-plane resolution is 1x1mm. Should be 2x2mm. Turn off interpolation. Also, not whole brain coverage. 2 sets of scans with 16 slices were uploaded, but top of brain is still missing. </t>
  </si>
  <si>
    <t>Only 180 time points were uploaded. Should be &gt;300 (ideally 304 per guidelines).</t>
  </si>
  <si>
    <t>Slice thickness = 5mm, not 1mm;  Collected 2D, not 3D</t>
  </si>
  <si>
    <t>None Available</t>
  </si>
  <si>
    <t>EpiBioS4Rx MRI ELLINGSON PARAMETER QC</t>
  </si>
  <si>
    <t>Major Critiques</t>
  </si>
  <si>
    <t>ADDITIONAL COMMENTS</t>
  </si>
  <si>
    <t>1.5T scanner used. Multiple data sets were uploaded for most studies. High level of motion, may make sequences unusable for analysis.</t>
  </si>
  <si>
    <t>Enroll ID</t>
  </si>
  <si>
    <t>???</t>
  </si>
  <si>
    <t>Informed consent had not yet been obtained for this patient.  As a result, patient underwent clinical One Bang MRI without the EpiBioS4Rx protocol being performed</t>
  </si>
  <si>
    <t>Patient could not tolerate scan</t>
  </si>
  <si>
    <t>A regular clinical MRI was performed rather than the one associated with the study protocol</t>
  </si>
  <si>
    <t>Protocol was followed but not completed, as patient could not tolerate full sequence of exam.</t>
  </si>
  <si>
    <t xml:space="preserve">OK </t>
  </si>
  <si>
    <t>In-plane resolution is .875, change to 1mm.</t>
  </si>
  <si>
    <t>Slice thickness = 2 mm. Change to 1 mm. In-plane resolution = 0.5 x0.5 mm. Change to 1 mm.</t>
  </si>
  <si>
    <t>Axial images acquired at .5 x .5 x 1mm.  should be collected at 1 x 1 x 1.</t>
  </si>
  <si>
    <t>Slice thickness = 2mm. Change to 1 mm. In-plane resolution = 0.8 x 0.8 mm. Change to 1 x 1 mm</t>
  </si>
  <si>
    <t>TR=2500ms. Change to TR=2000ms.</t>
  </si>
  <si>
    <t>Orange</t>
  </si>
  <si>
    <t>Red</t>
  </si>
  <si>
    <t>Purple</t>
  </si>
  <si>
    <t xml:space="preserve">Inplane resolution = 0.48x0.48mm. Should be 1mm. Please turn off interpolation or zero padding. </t>
  </si>
  <si>
    <t>No 3D T2</t>
  </si>
  <si>
    <t>No 3D FLAIR</t>
  </si>
  <si>
    <t>2.5mm slice thickness. Should be 1mm. </t>
  </si>
  <si>
    <t>No Data</t>
  </si>
  <si>
    <t>None Uploaded</t>
  </si>
  <si>
    <t>Each direction was a separate series. All TE, TR, etc. appear wiped, Looks OK but cannot tell</t>
  </si>
  <si>
    <t xml:space="preserve">Each time point was a separate series. All TE, TR, etc. appear wiped. Looks OK, but cannot tell. </t>
  </si>
  <si>
    <t xml:space="preserve">Lots of motion. </t>
  </si>
  <si>
    <t>Each direction was a separate series. All TE, TR, etc. appear wiped. Looks OK, but cannot tell. </t>
  </si>
  <si>
    <t>Each time point was a separate series. All TE, TR, etc. appear wiped. Looks OK, but cannot tell. </t>
  </si>
  <si>
    <t>2D, not to protocol</t>
  </si>
  <si>
    <t>None Included</t>
  </si>
  <si>
    <t>Only DWI no DTI</t>
  </si>
  <si>
    <t>TR= 2370ms. Should be 2000ms</t>
  </si>
  <si>
    <t>Lots of motion and wrapping artifacts (3D-T2)</t>
  </si>
  <si>
    <t>Date Report Received</t>
  </si>
  <si>
    <t>0.98x0.98mm inplane resolution. should be 1mm</t>
  </si>
  <si>
    <t>2mm slice thickness and 0.88x0.88mm inplane resolution. Should be 1x1x1mm.</t>
  </si>
  <si>
    <t>1mm inplane resolution. Should be 2mm. Please turn off interpolation or zero padding.</t>
  </si>
  <si>
    <t xml:space="preserve">TR=2138ms. Should be 2000ms. </t>
  </si>
  <si>
    <t>0.5mm inplane resolution. Should be 1mm. Also some wrapping artifact.</t>
  </si>
  <si>
    <t>TR=2100ms. Should be 2000ms. </t>
  </si>
  <si>
    <t>Wrapping artifact</t>
  </si>
  <si>
    <t>None to specs</t>
  </si>
  <si>
    <t>0.9mm slice thickness and 0.5mm inplane resolution. Should be 1x1x1mm. Motion artifacts present</t>
  </si>
  <si>
    <t>Coronal T2 = 1.5mm slice thickness. Axial = 3mm. Should be 3D 1x1x1mm. </t>
  </si>
  <si>
    <t>3mm slice thickness. Not to spec</t>
  </si>
  <si>
    <t>3.8 mm slice thickeness. Not to spec</t>
  </si>
  <si>
    <t>DWI only. No DTI</t>
  </si>
  <si>
    <t>In plane resolution is 0.5mm. Should be 1mm.</t>
  </si>
  <si>
    <t>In place resolution is 0.5mm. Should be 1mm</t>
  </si>
  <si>
    <t xml:space="preserve">1mm inplane resolution. Should be 2mm. </t>
  </si>
  <si>
    <t>TR= 2471 ms. Should be 2000ms</t>
  </si>
  <si>
    <t>Only sagittal T1 w/ 4mm thickness available (should be 1mm isotropic)</t>
  </si>
  <si>
    <t>5mm axial only (should be 1mm isotropic)</t>
  </si>
  <si>
    <t>1.8mm axial only (or 5mm GRE) (should be 1mm isotropic)</t>
  </si>
  <si>
    <t>Only 25 direction, 5mm slice thickness available (should be 2mm isotropic and 64 directions)</t>
  </si>
  <si>
    <t>OK, low image quality and some artifacts</t>
  </si>
  <si>
    <t>Significant image wrapping in z-direction. Also, significant motion artifacts.</t>
  </si>
  <si>
    <t xml:space="preserve">Significant image wrapping in z-direction. </t>
  </si>
  <si>
    <t>Significant motion artifacts and low image quality.</t>
  </si>
  <si>
    <t xml:space="preserve">Parameters OK, but motion caused signal drop-out for directions 18, 19, and 62. </t>
  </si>
  <si>
    <r>
      <t>Dataset #1 has significant motion causing signal dropout (4</t>
    </r>
    <r>
      <rPr>
        <vertAlign val="superscript"/>
        <sz val="11"/>
        <color theme="1"/>
        <rFont val="Calibri"/>
        <family val="2"/>
        <scheme val="minor"/>
      </rPr>
      <t>th</t>
    </r>
    <r>
      <rPr>
        <sz val="11"/>
        <color theme="1"/>
        <rFont val="Calibri"/>
        <family val="2"/>
        <scheme val="minor"/>
      </rPr>
      <t xml:space="preserve"> series), but 2</t>
    </r>
    <r>
      <rPr>
        <vertAlign val="superscript"/>
        <sz val="11"/>
        <color theme="1"/>
        <rFont val="Calibri"/>
        <family val="2"/>
        <scheme val="minor"/>
      </rPr>
      <t>nd</t>
    </r>
    <r>
      <rPr>
        <sz val="11"/>
        <color theme="1"/>
        <rFont val="Calibri"/>
        <family val="2"/>
        <scheme val="minor"/>
      </rPr>
      <t xml:space="preserve"> dataset (5</t>
    </r>
    <r>
      <rPr>
        <vertAlign val="superscript"/>
        <sz val="11"/>
        <color theme="1"/>
        <rFont val="Calibri"/>
        <family val="2"/>
        <scheme val="minor"/>
      </rPr>
      <t>th</t>
    </r>
    <r>
      <rPr>
        <sz val="11"/>
        <color theme="1"/>
        <rFont val="Calibri"/>
        <family val="2"/>
        <scheme val="minor"/>
      </rPr>
      <t xml:space="preserve"> series) seems to be OK (could be the motion-corrected version?)</t>
    </r>
  </si>
  <si>
    <t>2 data sets for same day uploaded</t>
  </si>
  <si>
    <t>Image quality is low, perhaps due to motion. Some wrap-around in z-dir but may be usable.</t>
  </si>
  <si>
    <t>Some wrap-around in z-direction affecting superior slices, but may be usable.</t>
  </si>
  <si>
    <t>Significant wrap-around in z-direction affecting superior slices.</t>
  </si>
  <si>
    <t>Significant image wrapping in z-direction.</t>
  </si>
  <si>
    <t>Not Available</t>
  </si>
  <si>
    <t>Ok but low SNR in background brain. Might be due to excessive blood products changing the dynamic range of the images, but no issues with acquisition parameters</t>
  </si>
  <si>
    <t>Acquired with 0.5mm x 0.5mm (inplane) and 2mm slice thickness. There is no issue with the 0.5mm voxel resolution in-plane, but there is an issue with the 2mm slice thickness. It needs to be as close to 1x1x1 as possible. I would suggest reducing the inplane resolution and decrease slice thickness</t>
  </si>
  <si>
    <t>OK TR should be 2 seconds (currently 2.113 seconds). Otherwise, acquisition parameters are OK.</t>
  </si>
  <si>
    <t xml:space="preserve">Acquisition parameters look OK, but significant patient motion between each DTI direction. </t>
  </si>
  <si>
    <t xml:space="preserve">Resolution is 0.875 x 0.875 x 2mm. Should be 1mm x 1mm x 1mm. </t>
  </si>
  <si>
    <t>Voxel size is 0.4375 x 0.4375 x 2mm (should be 1mm isotropic)</t>
  </si>
  <si>
    <t>Voxel size is 1x1x2mm (should be 2mm isotropic). Interpolation/zero padding may be turned on</t>
  </si>
  <si>
    <t>0.89 x 0.89 x 1mm. (SWIp dataset). Please change to 1x1x1mm</t>
  </si>
  <si>
    <t>Resolution is 0.875 x 0.875 x 2mm. Should be 1x1x1mm.</t>
  </si>
  <si>
    <t>Resolution is 1x1x2. Should be 2x2x2mm. Interpolation may be turned on.</t>
  </si>
  <si>
    <t>Resolution is 0.5x0.5x1mm. Should be 1x1x1mm. Interpolation may be turned on.</t>
  </si>
  <si>
    <t>Resolution is 1x1x2mm. Should be 2x2x2mm. Interpolation may be turned on.</t>
  </si>
  <si>
    <t>TR = 2150ms. Should be 2000ms. </t>
  </si>
  <si>
    <t>OK, but artifacts present</t>
  </si>
  <si>
    <t>OK, but significant artifacts</t>
  </si>
  <si>
    <t>TR=2200ms. Should be 2000ms. </t>
  </si>
  <si>
    <t>Resolution is 0.976x0.976x1mm. Should be 1x1x1mm. </t>
  </si>
  <si>
    <t>5mm thickness. Off protocol</t>
  </si>
  <si>
    <t>5mm thickness. Off protocol. 3 directions only</t>
  </si>
  <si>
    <t>Clnical MRI</t>
  </si>
  <si>
    <t>OK, but some geometric distortions</t>
  </si>
  <si>
    <t>OK, some artifacts</t>
  </si>
  <si>
    <t xml:space="preserve">Ok, some artifacts </t>
  </si>
  <si>
    <t xml:space="preserve">All directions are individual files. All header information about TE, TR, voxel size has been stripped. Trouble reconstructing. </t>
  </si>
  <si>
    <t>All time points are individual files. TE, TR, etc. parameters are have been stripped from DICOM.</t>
  </si>
  <si>
    <t>Color Criteria</t>
  </si>
  <si>
    <t>Green</t>
  </si>
  <si>
    <t>Yellow</t>
  </si>
  <si>
    <t>N/A</t>
  </si>
  <si>
    <t>TOTAL</t>
  </si>
  <si>
    <t>TOTAL COMPLIANT</t>
  </si>
  <si>
    <t>Not Uploaded/Missing</t>
  </si>
  <si>
    <t>OK, but some blurring from motion</t>
  </si>
  <si>
    <t>OK - some degradation</t>
  </si>
  <si>
    <t>Bad motion artificats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</si>
</sst>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26"/>
      <color theme="1"/>
      <name val="Calibri"/>
      <family val="2"/>
      <scheme val="minor"/>
    </font>
    <font>
      <sz val="9"/>
      <color theme="1"/>
      <name val="Calibri"/>
      <family val="2"/>
      <scheme val="minor"/>
    </font>
    <font>
      <sz val="8"/>
      <color theme="1"/>
      <name val="Calibri"/>
      <family val="2"/>
      <scheme val="minor"/>
    </font>
    <font>
      <sz val="8"/>
      <name val="Calibri"/>
      <family val="2"/>
      <scheme val="minor"/>
    </font>
    <font>
      <b/>
      <sz val="8"/>
      <color rgb="FFFF0000"/>
      <name val="Calibri"/>
      <family val="2"/>
      <scheme val="minor"/>
    </font>
    <font>
      <sz val="8"/>
      <color theme="1"/>
      <name val="Times New Roman"/>
      <family val="1"/>
    </font>
    <font>
      <sz val="8"/>
      <color rgb="FF333333"/>
      <name val="Times New Roman"/>
      <family val="1"/>
    </font>
    <font>
      <b/>
      <sz val="12"/>
      <color theme="0"/>
      <name val="Calibri"/>
      <family val="2"/>
      <scheme val="minor"/>
    </font>
    <font>
      <sz val="11"/>
      <name val="Calibri"/>
      <family val="2"/>
      <scheme val="minor"/>
    </font>
    <font>
      <sz val="8"/>
      <color rgb="FF000000"/>
      <name val="Verdana"/>
      <family val="2"/>
    </font>
    <font>
      <i/>
      <sz val="11"/>
      <color theme="1"/>
      <name val="Calibri"/>
      <family val="2"/>
      <scheme val="minor"/>
    </font>
    <font>
      <vertAlign val="superscript"/>
      <sz val="11"/>
      <color theme="1"/>
      <name val="Calibri"/>
      <family val="2"/>
      <scheme val="minor"/>
    </font>
    <font>
      <sz val="11"/>
      <color rgb="FF000000"/>
      <name val="Calibri"/>
      <family val="2"/>
      <scheme val="minor"/>
    </font>
    <font>
      <sz val="12"/>
      <color theme="1"/>
      <name val="Times New Roman"/>
      <family val="1"/>
    </font>
  </fonts>
  <fills count="1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F0000"/>
        <bgColor indexed="64"/>
      </patternFill>
    </fill>
    <fill>
      <patternFill patternType="solid">
        <fgColor theme="1"/>
        <bgColor indexed="64"/>
      </patternFill>
    </fill>
    <fill>
      <patternFill patternType="solid">
        <fgColor theme="5" tint="0.59999389629810485"/>
        <bgColor indexed="64"/>
      </patternFill>
    </fill>
    <fill>
      <patternFill patternType="solid">
        <fgColor rgb="FFCCCCFF"/>
        <bgColor indexed="64"/>
      </patternFill>
    </fill>
    <fill>
      <patternFill patternType="solid">
        <fgColor rgb="FFFFFFF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diagonal/>
    </border>
    <border>
      <left style="thin">
        <color indexed="64"/>
      </left>
      <right style="thin">
        <color indexed="64"/>
      </right>
      <top/>
      <bottom/>
      <diagonal/>
    </border>
    <border>
      <left/>
      <right style="medium">
        <color indexed="64"/>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rgb="FFDDDDDD"/>
      </right>
      <top style="medium">
        <color rgb="FFDDDDDD"/>
      </top>
      <bottom style="medium">
        <color rgb="FFCCCCCC"/>
      </bottom>
      <diagonal/>
    </border>
    <border>
      <left style="medium">
        <color indexed="64"/>
      </left>
      <right/>
      <top/>
      <bottom/>
      <diagonal/>
    </border>
    <border>
      <left style="medium">
        <color indexed="64"/>
      </left>
      <right style="thin">
        <color indexed="64"/>
      </right>
      <top style="thin">
        <color indexed="64"/>
      </top>
      <bottom/>
      <diagonal/>
    </border>
  </borders>
  <cellStyleXfs count="1">
    <xf numFmtId="0" fontId="0" fillId="0" borderId="0"/>
  </cellStyleXfs>
  <cellXfs count="116">
    <xf numFmtId="0" fontId="0" fillId="0" borderId="0" xfId="0"/>
    <xf numFmtId="0" fontId="3" fillId="2" borderId="1" xfId="0" applyFont="1" applyFill="1" applyBorder="1" applyAlignment="1">
      <alignment horizontal="left" wrapText="1"/>
    </xf>
    <xf numFmtId="0" fontId="3" fillId="5" borderId="1" xfId="0" applyFont="1" applyFill="1" applyBorder="1" applyAlignment="1">
      <alignment horizontal="left" wrapText="1"/>
    </xf>
    <xf numFmtId="0" fontId="3" fillId="4" borderId="1" xfId="0" applyFont="1" applyFill="1" applyBorder="1" applyAlignment="1">
      <alignment horizontal="left" wrapText="1"/>
    </xf>
    <xf numFmtId="0" fontId="3" fillId="3" borderId="2" xfId="0" applyFont="1" applyFill="1" applyBorder="1" applyAlignment="1">
      <alignment horizontal="left" wrapText="1"/>
    </xf>
    <xf numFmtId="0" fontId="3" fillId="3" borderId="1" xfId="0" applyFont="1" applyFill="1" applyBorder="1" applyAlignment="1">
      <alignment horizontal="left" wrapText="1"/>
    </xf>
    <xf numFmtId="0" fontId="4" fillId="3" borderId="1" xfId="0" applyFont="1" applyFill="1" applyBorder="1" applyAlignment="1">
      <alignment horizontal="left" wrapText="1"/>
    </xf>
    <xf numFmtId="0" fontId="3" fillId="2" borderId="2" xfId="0" applyFont="1" applyFill="1" applyBorder="1" applyAlignment="1">
      <alignment horizontal="left" wrapText="1"/>
    </xf>
    <xf numFmtId="0" fontId="2" fillId="0" borderId="0" xfId="0" applyFont="1" applyBorder="1" applyAlignment="1"/>
    <xf numFmtId="0" fontId="4" fillId="4" borderId="1" xfId="0" applyFont="1" applyFill="1" applyBorder="1" applyAlignment="1">
      <alignment horizontal="left" wrapText="1"/>
    </xf>
    <xf numFmtId="0" fontId="4" fillId="3" borderId="2" xfId="0" applyFont="1" applyFill="1" applyBorder="1" applyAlignment="1">
      <alignment horizontal="left" wrapText="1"/>
    </xf>
    <xf numFmtId="0" fontId="3" fillId="0" borderId="0" xfId="0" applyFont="1" applyAlignment="1">
      <alignment horizontal="right" vertical="center"/>
    </xf>
    <xf numFmtId="14" fontId="3" fillId="0" borderId="0" xfId="0" applyNumberFormat="1" applyFont="1" applyAlignment="1">
      <alignment horizontal="right" vertical="center"/>
    </xf>
    <xf numFmtId="14" fontId="3" fillId="0" borderId="0" xfId="0" applyNumberFormat="1" applyFont="1" applyAlignment="1">
      <alignment horizontal="right"/>
    </xf>
    <xf numFmtId="0" fontId="3" fillId="0" borderId="0" xfId="0" applyFont="1" applyAlignment="1">
      <alignment horizontal="right"/>
    </xf>
    <xf numFmtId="0" fontId="3" fillId="0" borderId="0" xfId="0" applyFont="1" applyFill="1" applyBorder="1" applyAlignment="1">
      <alignment horizontal="right"/>
    </xf>
    <xf numFmtId="14" fontId="3" fillId="0" borderId="3" xfId="0" applyNumberFormat="1" applyFont="1" applyBorder="1" applyAlignment="1">
      <alignment horizontal="right"/>
    </xf>
    <xf numFmtId="14" fontId="3" fillId="0" borderId="4" xfId="0" applyNumberFormat="1" applyFont="1" applyBorder="1" applyAlignment="1">
      <alignment horizontal="right"/>
    </xf>
    <xf numFmtId="0" fontId="3" fillId="0" borderId="0" xfId="0" applyFont="1"/>
    <xf numFmtId="0" fontId="4" fillId="5" borderId="1" xfId="0" applyFont="1" applyFill="1" applyBorder="1" applyAlignment="1">
      <alignment horizontal="left" wrapText="1"/>
    </xf>
    <xf numFmtId="0" fontId="3" fillId="5" borderId="2" xfId="0" applyFont="1" applyFill="1" applyBorder="1" applyAlignment="1">
      <alignment horizontal="left" wrapText="1"/>
    </xf>
    <xf numFmtId="0" fontId="5" fillId="0" borderId="0" xfId="0" applyFont="1" applyAlignment="1">
      <alignment horizontal="right" vertical="center"/>
    </xf>
    <xf numFmtId="0" fontId="5" fillId="0" borderId="0" xfId="0" applyFont="1" applyAlignment="1">
      <alignment horizontal="right"/>
    </xf>
    <xf numFmtId="0" fontId="5" fillId="0" borderId="5" xfId="0" applyFont="1" applyBorder="1" applyAlignment="1">
      <alignment horizontal="right"/>
    </xf>
    <xf numFmtId="0" fontId="5" fillId="0" borderId="0" xfId="0" applyFont="1" applyFill="1" applyBorder="1" applyAlignment="1">
      <alignment horizontal="right"/>
    </xf>
    <xf numFmtId="14" fontId="3" fillId="0" borderId="0" xfId="0" applyNumberFormat="1" applyFont="1"/>
    <xf numFmtId="0" fontId="4" fillId="5" borderId="2" xfId="0" applyFont="1" applyFill="1" applyBorder="1" applyAlignment="1">
      <alignment horizontal="left" wrapText="1"/>
    </xf>
    <xf numFmtId="0" fontId="6" fillId="3" borderId="1" xfId="0" applyFont="1" applyFill="1" applyBorder="1" applyAlignment="1">
      <alignment horizontal="left" wrapText="1"/>
    </xf>
    <xf numFmtId="0" fontId="6" fillId="3" borderId="2" xfId="0" applyFont="1" applyFill="1" applyBorder="1" applyAlignment="1">
      <alignment horizontal="left" wrapText="1"/>
    </xf>
    <xf numFmtId="0" fontId="4" fillId="4" borderId="2" xfId="0" applyFont="1" applyFill="1" applyBorder="1" applyAlignment="1">
      <alignment horizontal="left" wrapText="1"/>
    </xf>
    <xf numFmtId="0" fontId="3" fillId="3" borderId="6" xfId="0" applyFont="1" applyFill="1" applyBorder="1" applyAlignment="1">
      <alignment wrapText="1"/>
    </xf>
    <xf numFmtId="0" fontId="7" fillId="4" borderId="7" xfId="0" applyFont="1" applyFill="1" applyBorder="1" applyAlignment="1">
      <alignment horizontal="left" vertical="center" wrapText="1"/>
    </xf>
    <xf numFmtId="0" fontId="3" fillId="2" borderId="8" xfId="0" applyFont="1" applyFill="1" applyBorder="1" applyAlignment="1">
      <alignment horizontal="left" wrapText="1"/>
    </xf>
    <xf numFmtId="0" fontId="6" fillId="4" borderId="1" xfId="0" applyFont="1" applyFill="1" applyBorder="1" applyAlignment="1">
      <alignment horizontal="left" wrapText="1"/>
    </xf>
    <xf numFmtId="0" fontId="3" fillId="3" borderId="8" xfId="0" applyFont="1" applyFill="1" applyBorder="1" applyAlignment="1">
      <alignment wrapText="1"/>
    </xf>
    <xf numFmtId="0" fontId="3" fillId="3" borderId="9" xfId="0" applyFont="1" applyFill="1" applyBorder="1" applyAlignment="1">
      <alignment wrapText="1"/>
    </xf>
    <xf numFmtId="0" fontId="3" fillId="3" borderId="2" xfId="0" applyFont="1" applyFill="1" applyBorder="1" applyAlignment="1">
      <alignment wrapText="1"/>
    </xf>
    <xf numFmtId="0" fontId="6" fillId="4" borderId="7" xfId="0" applyFont="1" applyFill="1" applyBorder="1" applyAlignment="1">
      <alignment horizontal="left" wrapText="1"/>
    </xf>
    <xf numFmtId="0" fontId="3" fillId="0" borderId="0" xfId="0" applyFont="1" applyAlignment="1">
      <alignment wrapText="1"/>
    </xf>
    <xf numFmtId="0" fontId="8" fillId="6" borderId="0" xfId="0" applyFont="1" applyFill="1" applyAlignment="1">
      <alignment vertical="center"/>
    </xf>
    <xf numFmtId="0" fontId="8" fillId="6" borderId="0" xfId="0" applyFont="1" applyFill="1" applyAlignment="1">
      <alignment horizontal="center" vertical="center"/>
    </xf>
    <xf numFmtId="0" fontId="6" fillId="4" borderId="8" xfId="0" applyFont="1" applyFill="1" applyBorder="1" applyAlignment="1">
      <alignment horizontal="left" wrapText="1"/>
    </xf>
    <xf numFmtId="0" fontId="3" fillId="2" borderId="1" xfId="0" applyFont="1" applyFill="1" applyBorder="1" applyAlignment="1">
      <alignment wrapText="1"/>
    </xf>
    <xf numFmtId="0" fontId="3" fillId="0" borderId="0" xfId="0" applyFont="1" applyFill="1" applyBorder="1" applyAlignment="1">
      <alignment horizontal="left" wrapText="1"/>
    </xf>
    <xf numFmtId="0" fontId="0" fillId="0" borderId="0" xfId="0" applyFill="1" applyBorder="1"/>
    <xf numFmtId="0" fontId="3" fillId="0" borderId="0" xfId="0" applyFont="1" applyFill="1" applyBorder="1" applyAlignment="1">
      <alignment wrapText="1"/>
    </xf>
    <xf numFmtId="0" fontId="4" fillId="0" borderId="0" xfId="0" applyFont="1" applyFill="1" applyBorder="1" applyAlignment="1">
      <alignment horizontal="left" wrapText="1"/>
    </xf>
    <xf numFmtId="0" fontId="0" fillId="0" borderId="0" xfId="0" applyAlignment="1"/>
    <xf numFmtId="14" fontId="10" fillId="0" borderId="0" xfId="0" applyNumberFormat="1" applyFont="1"/>
    <xf numFmtId="14" fontId="10" fillId="9" borderId="10" xfId="0" applyNumberFormat="1" applyFont="1" applyFill="1" applyBorder="1" applyAlignment="1">
      <alignment vertical="center" wrapText="1"/>
    </xf>
    <xf numFmtId="0" fontId="3" fillId="2" borderId="3" xfId="0" applyFont="1" applyFill="1" applyBorder="1" applyAlignment="1">
      <alignment horizontal="left" wrapText="1"/>
    </xf>
    <xf numFmtId="0" fontId="3" fillId="0" borderId="11" xfId="0" applyFont="1" applyBorder="1" applyAlignment="1">
      <alignment horizontal="left" wrapText="1"/>
    </xf>
    <xf numFmtId="0" fontId="3" fillId="0" borderId="0" xfId="0" applyFont="1" applyBorder="1" applyAlignment="1">
      <alignment horizontal="left" wrapText="1"/>
    </xf>
    <xf numFmtId="0" fontId="3" fillId="0" borderId="7" xfId="0" applyFont="1" applyBorder="1" applyAlignment="1">
      <alignment horizontal="left" wrapText="1"/>
    </xf>
    <xf numFmtId="0" fontId="3" fillId="5" borderId="11" xfId="0" applyFont="1" applyFill="1" applyBorder="1" applyAlignment="1">
      <alignment wrapText="1"/>
    </xf>
    <xf numFmtId="0" fontId="3" fillId="5" borderId="0" xfId="0" applyFont="1" applyFill="1" applyBorder="1" applyAlignment="1">
      <alignment wrapText="1"/>
    </xf>
    <xf numFmtId="0" fontId="3" fillId="5" borderId="7" xfId="0" applyFont="1" applyFill="1" applyBorder="1" applyAlignment="1">
      <alignment wrapText="1"/>
    </xf>
    <xf numFmtId="0" fontId="3" fillId="5" borderId="3" xfId="0" applyFont="1" applyFill="1" applyBorder="1" applyAlignment="1">
      <alignment horizontal="left" wrapText="1"/>
    </xf>
    <xf numFmtId="0" fontId="4" fillId="4" borderId="3" xfId="0" applyFont="1" applyFill="1" applyBorder="1" applyAlignment="1">
      <alignment horizontal="left" wrapText="1"/>
    </xf>
    <xf numFmtId="0" fontId="3" fillId="0" borderId="11" xfId="0" applyFont="1" applyBorder="1" applyAlignment="1">
      <alignment wrapText="1"/>
    </xf>
    <xf numFmtId="0" fontId="3" fillId="0" borderId="0" xfId="0" applyFont="1" applyBorder="1" applyAlignment="1">
      <alignment wrapText="1"/>
    </xf>
    <xf numFmtId="0" fontId="3" fillId="0" borderId="7" xfId="0" applyFont="1" applyBorder="1" applyAlignment="1">
      <alignment wrapText="1"/>
    </xf>
    <xf numFmtId="0" fontId="6" fillId="2" borderId="0" xfId="0" applyFont="1" applyFill="1" applyBorder="1" applyAlignment="1">
      <alignment wrapText="1"/>
    </xf>
    <xf numFmtId="0" fontId="6" fillId="3" borderId="0" xfId="0" applyFont="1" applyFill="1" applyBorder="1" applyAlignment="1">
      <alignment wrapText="1"/>
    </xf>
    <xf numFmtId="0" fontId="3" fillId="4" borderId="3" xfId="0" applyFont="1" applyFill="1" applyBorder="1" applyAlignment="1">
      <alignment horizontal="left" wrapText="1"/>
    </xf>
    <xf numFmtId="0" fontId="3" fillId="3" borderId="0" xfId="0" applyFont="1" applyFill="1" applyBorder="1" applyAlignment="1">
      <alignment wrapText="1"/>
    </xf>
    <xf numFmtId="0" fontId="3" fillId="2" borderId="12" xfId="0" applyFont="1" applyFill="1" applyBorder="1" applyAlignment="1">
      <alignment horizontal="left" wrapText="1"/>
    </xf>
    <xf numFmtId="0" fontId="3" fillId="2" borderId="3" xfId="0" applyFont="1" applyFill="1" applyBorder="1" applyAlignment="1">
      <alignment wrapText="1"/>
    </xf>
    <xf numFmtId="0" fontId="3" fillId="2" borderId="2" xfId="0" applyFont="1" applyFill="1" applyBorder="1" applyAlignment="1">
      <alignment wrapText="1"/>
    </xf>
    <xf numFmtId="0" fontId="3" fillId="3" borderId="0" xfId="0" applyFont="1" applyFill="1" applyBorder="1" applyAlignment="1">
      <alignment horizontal="left" wrapText="1"/>
    </xf>
    <xf numFmtId="0" fontId="3" fillId="3" borderId="3" xfId="0" applyFont="1" applyFill="1" applyBorder="1" applyAlignment="1">
      <alignment horizontal="left" wrapText="1"/>
    </xf>
    <xf numFmtId="0" fontId="3" fillId="2" borderId="11" xfId="0" applyFont="1" applyFill="1" applyBorder="1" applyAlignment="1">
      <alignment wrapText="1"/>
    </xf>
    <xf numFmtId="0" fontId="3" fillId="2" borderId="0" xfId="0" applyFont="1" applyFill="1" applyBorder="1" applyAlignment="1">
      <alignment wrapText="1"/>
    </xf>
    <xf numFmtId="0" fontId="3" fillId="4" borderId="7" xfId="0" applyFont="1" applyFill="1" applyBorder="1" applyAlignment="1">
      <alignment wrapText="1"/>
    </xf>
    <xf numFmtId="0" fontId="3" fillId="2" borderId="7" xfId="0" applyFont="1" applyFill="1" applyBorder="1" applyAlignment="1">
      <alignment wrapText="1"/>
    </xf>
    <xf numFmtId="0" fontId="3" fillId="0" borderId="1" xfId="0" applyFont="1" applyBorder="1" applyAlignment="1">
      <alignment wrapText="1"/>
    </xf>
    <xf numFmtId="0" fontId="3" fillId="8" borderId="1" xfId="0" applyFont="1" applyFill="1" applyBorder="1" applyAlignment="1">
      <alignment wrapText="1"/>
    </xf>
    <xf numFmtId="0" fontId="3" fillId="3" borderId="1" xfId="0" applyFont="1" applyFill="1" applyBorder="1" applyAlignment="1">
      <alignment wrapText="1"/>
    </xf>
    <xf numFmtId="0" fontId="3" fillId="5" borderId="1" xfId="0" applyFont="1" applyFill="1" applyBorder="1" applyAlignment="1">
      <alignment wrapText="1"/>
    </xf>
    <xf numFmtId="0" fontId="3" fillId="4" borderId="1" xfId="0" applyFont="1" applyFill="1" applyBorder="1" applyAlignment="1">
      <alignment wrapText="1"/>
    </xf>
    <xf numFmtId="0" fontId="0" fillId="2" borderId="1" xfId="0" applyFill="1" applyBorder="1"/>
    <xf numFmtId="0" fontId="4" fillId="0" borderId="5" xfId="0" applyFont="1" applyFill="1" applyBorder="1" applyAlignment="1">
      <alignment wrapText="1"/>
    </xf>
    <xf numFmtId="14" fontId="0" fillId="0" borderId="0" xfId="0" applyNumberFormat="1"/>
    <xf numFmtId="0" fontId="4" fillId="3" borderId="1" xfId="0" applyFont="1" applyFill="1" applyBorder="1" applyAlignment="1">
      <alignment wrapText="1"/>
    </xf>
    <xf numFmtId="0" fontId="0" fillId="4" borderId="1" xfId="0" applyFill="1" applyBorder="1" applyAlignment="1">
      <alignment vertical="center" wrapText="1"/>
    </xf>
    <xf numFmtId="0" fontId="0" fillId="4" borderId="1" xfId="0" applyFill="1" applyBorder="1" applyAlignment="1">
      <alignment wrapText="1"/>
    </xf>
    <xf numFmtId="0" fontId="0" fillId="4" borderId="1" xfId="0" applyFont="1" applyFill="1" applyBorder="1" applyAlignment="1">
      <alignment vertical="center" wrapText="1"/>
    </xf>
    <xf numFmtId="0" fontId="0" fillId="5" borderId="1" xfId="0" applyFont="1" applyFill="1" applyBorder="1" applyAlignment="1">
      <alignment vertical="center" wrapText="1"/>
    </xf>
    <xf numFmtId="0" fontId="0" fillId="5" borderId="1" xfId="0" applyFill="1" applyBorder="1" applyAlignment="1">
      <alignment wrapText="1"/>
    </xf>
    <xf numFmtId="0" fontId="0" fillId="2" borderId="1" xfId="0" applyFill="1" applyBorder="1" applyAlignment="1">
      <alignment wrapText="1"/>
    </xf>
    <xf numFmtId="0" fontId="3" fillId="7" borderId="1" xfId="0" applyFont="1" applyFill="1" applyBorder="1" applyAlignment="1">
      <alignment wrapText="1"/>
    </xf>
    <xf numFmtId="0" fontId="14" fillId="0" borderId="0" xfId="0" applyFont="1" applyFill="1"/>
    <xf numFmtId="0" fontId="14" fillId="5" borderId="1" xfId="0" applyFont="1" applyFill="1" applyBorder="1" applyAlignment="1">
      <alignment wrapText="1"/>
    </xf>
    <xf numFmtId="0" fontId="0" fillId="2" borderId="1" xfId="0" applyFont="1" applyFill="1" applyBorder="1" applyAlignment="1">
      <alignment vertical="center" wrapText="1"/>
    </xf>
    <xf numFmtId="0" fontId="13" fillId="7" borderId="1" xfId="0" applyFont="1" applyFill="1" applyBorder="1" applyAlignment="1">
      <alignment wrapText="1"/>
    </xf>
    <xf numFmtId="0" fontId="0" fillId="3" borderId="1" xfId="0" applyFill="1" applyBorder="1" applyAlignment="1">
      <alignment wrapText="1"/>
    </xf>
    <xf numFmtId="0" fontId="0" fillId="7" borderId="1" xfId="0" applyFill="1" applyBorder="1"/>
    <xf numFmtId="0" fontId="14" fillId="7" borderId="1" xfId="0" applyFont="1" applyFill="1" applyBorder="1"/>
    <xf numFmtId="0" fontId="14" fillId="3" borderId="1" xfId="0" applyFont="1" applyFill="1" applyBorder="1"/>
    <xf numFmtId="0" fontId="14" fillId="5" borderId="1" xfId="0" applyFont="1" applyFill="1" applyBorder="1"/>
    <xf numFmtId="0" fontId="14" fillId="3" borderId="1" xfId="0" applyFont="1" applyFill="1" applyBorder="1" applyAlignment="1">
      <alignment vertical="center"/>
    </xf>
    <xf numFmtId="0" fontId="0" fillId="3" borderId="1" xfId="0" applyFill="1" applyBorder="1"/>
    <xf numFmtId="0" fontId="0" fillId="3" borderId="1" xfId="0" applyFont="1" applyFill="1" applyBorder="1" applyAlignment="1">
      <alignment vertical="center"/>
    </xf>
    <xf numFmtId="0" fontId="14" fillId="7" borderId="1" xfId="0" applyFont="1" applyFill="1" applyBorder="1" applyAlignment="1">
      <alignment wrapText="1"/>
    </xf>
    <xf numFmtId="0" fontId="0" fillId="7" borderId="1" xfId="0" applyFill="1" applyBorder="1" applyAlignment="1">
      <alignment wrapText="1"/>
    </xf>
    <xf numFmtId="0" fontId="14" fillId="7" borderId="1" xfId="0" applyFont="1" applyFill="1" applyBorder="1" applyAlignment="1">
      <alignment vertical="center" wrapText="1"/>
    </xf>
    <xf numFmtId="0" fontId="0" fillId="0" borderId="1" xfId="0" applyBorder="1"/>
    <xf numFmtId="0" fontId="11" fillId="7" borderId="1" xfId="0" applyFont="1" applyFill="1" applyBorder="1"/>
    <xf numFmtId="0" fontId="11" fillId="5" borderId="1" xfId="0" applyFont="1" applyFill="1" applyBorder="1"/>
    <xf numFmtId="0" fontId="11" fillId="8" borderId="1" xfId="0" applyFont="1" applyFill="1" applyBorder="1"/>
    <xf numFmtId="0" fontId="0" fillId="8" borderId="0" xfId="0" applyFill="1" applyAlignment="1">
      <alignment horizontal="left"/>
    </xf>
    <xf numFmtId="0" fontId="1" fillId="0" borderId="0" xfId="0" applyFont="1" applyAlignment="1">
      <alignment horizontal="center" vertical="center"/>
    </xf>
    <xf numFmtId="0" fontId="0" fillId="7" borderId="0" xfId="0" applyFill="1" applyAlignment="1">
      <alignment horizontal="left"/>
    </xf>
    <xf numFmtId="0" fontId="0" fillId="2" borderId="0" xfId="0" applyFill="1" applyAlignment="1">
      <alignment horizontal="left"/>
    </xf>
    <xf numFmtId="0" fontId="0" fillId="3" borderId="0" xfId="0" applyFill="1" applyAlignment="1">
      <alignment horizontal="left"/>
    </xf>
    <xf numFmtId="0" fontId="9" fillId="5" borderId="0" xfId="0" applyFont="1" applyFill="1" applyAlignment="1">
      <alignment horizontal="left"/>
    </xf>
  </cellXfs>
  <cellStyles count="1">
    <cellStyle name="Normal" xfId="0" builtinId="0"/>
  </cellStyles>
  <dxfs count="0"/>
  <tableStyles count="0" defaultTableStyle="TableStyleMedium2" defaultPivotStyle="PivotStyleLight16"/>
  <colors>
    <mruColors>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r>
              <a:rPr lang="en-US"/>
              <a:t>MRI QC For EpiBioS4Rx MRIs Uploaded to the IDA</a:t>
            </a:r>
          </a:p>
          <a:p>
            <a:pPr>
              <a:defRPr/>
            </a:pPr>
            <a:r>
              <a:rPr lang="en-US"/>
              <a:t>(n=172)</a:t>
            </a:r>
          </a:p>
        </c:rich>
      </c:tx>
      <c:layout/>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Sheet1!$B$218</c:f>
              <c:strCache>
                <c:ptCount val="1"/>
                <c:pt idx="0">
                  <c:v>Compliant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Sheet1!$A$219:$A$224</c:f>
              <c:strCache>
                <c:ptCount val="6"/>
                <c:pt idx="0">
                  <c:v>3D T1</c:v>
                </c:pt>
                <c:pt idx="1">
                  <c:v>3D T2</c:v>
                </c:pt>
                <c:pt idx="2">
                  <c:v>3D FLAIR</c:v>
                </c:pt>
                <c:pt idx="3">
                  <c:v>3D GRE/SWI</c:v>
                </c:pt>
                <c:pt idx="4">
                  <c:v>DTI</c:v>
                </c:pt>
                <c:pt idx="5">
                  <c:v>fMRI</c:v>
                </c:pt>
              </c:strCache>
            </c:strRef>
          </c:cat>
          <c:val>
            <c:numRef>
              <c:f>Sheet1!$D$219:$D$224</c:f>
              <c:numCache>
                <c:formatCode>General</c:formatCode>
                <c:ptCount val="6"/>
                <c:pt idx="0">
                  <c:v>126</c:v>
                </c:pt>
                <c:pt idx="1">
                  <c:v>102</c:v>
                </c:pt>
                <c:pt idx="2">
                  <c:v>88</c:v>
                </c:pt>
                <c:pt idx="3">
                  <c:v>93</c:v>
                </c:pt>
                <c:pt idx="4">
                  <c:v>103</c:v>
                </c:pt>
                <c:pt idx="5">
                  <c:v>99</c:v>
                </c:pt>
              </c:numCache>
            </c:numRef>
          </c:val>
          <c:extLst>
            <c:ext xmlns:c16="http://schemas.microsoft.com/office/drawing/2014/chart" uri="{C3380CC4-5D6E-409C-BE32-E72D297353CC}">
              <c16:uniqueId val="{00000000-E927-4052-8116-1FA394C1D931}"/>
            </c:ext>
          </c:extLst>
        </c:ser>
        <c:ser>
          <c:idx val="1"/>
          <c:order val="1"/>
          <c:tx>
            <c:strRef>
              <c:f>Sheet1!$E$218</c:f>
              <c:strCache>
                <c:ptCount val="1"/>
                <c:pt idx="0">
                  <c:v>Major Critiques</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Sheet1!$A$219:$A$224</c:f>
              <c:strCache>
                <c:ptCount val="6"/>
                <c:pt idx="0">
                  <c:v>3D T1</c:v>
                </c:pt>
                <c:pt idx="1">
                  <c:v>3D T2</c:v>
                </c:pt>
                <c:pt idx="2">
                  <c:v>3D FLAIR</c:v>
                </c:pt>
                <c:pt idx="3">
                  <c:v>3D GRE/SWI</c:v>
                </c:pt>
                <c:pt idx="4">
                  <c:v>DTI</c:v>
                </c:pt>
                <c:pt idx="5">
                  <c:v>fMRI</c:v>
                </c:pt>
              </c:strCache>
            </c:strRef>
          </c:cat>
          <c:val>
            <c:numRef>
              <c:f>Sheet1!$E$219:$E$224</c:f>
              <c:numCache>
                <c:formatCode>General</c:formatCode>
                <c:ptCount val="6"/>
                <c:pt idx="0">
                  <c:v>4</c:v>
                </c:pt>
                <c:pt idx="1">
                  <c:v>21</c:v>
                </c:pt>
                <c:pt idx="2">
                  <c:v>31</c:v>
                </c:pt>
                <c:pt idx="3">
                  <c:v>17</c:v>
                </c:pt>
                <c:pt idx="4">
                  <c:v>12</c:v>
                </c:pt>
                <c:pt idx="5">
                  <c:v>15</c:v>
                </c:pt>
              </c:numCache>
            </c:numRef>
          </c:val>
          <c:extLst>
            <c:ext xmlns:c16="http://schemas.microsoft.com/office/drawing/2014/chart" uri="{C3380CC4-5D6E-409C-BE32-E72D297353CC}">
              <c16:uniqueId val="{00000001-E927-4052-8116-1FA394C1D931}"/>
            </c:ext>
          </c:extLst>
        </c:ser>
        <c:ser>
          <c:idx val="2"/>
          <c:order val="2"/>
          <c:tx>
            <c:strRef>
              <c:f>Sheet1!$F$218</c:f>
              <c:strCache>
                <c:ptCount val="1"/>
                <c:pt idx="0">
                  <c:v>Not Compliant</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Sheet1!$A$219:$A$224</c:f>
              <c:strCache>
                <c:ptCount val="6"/>
                <c:pt idx="0">
                  <c:v>3D T1</c:v>
                </c:pt>
                <c:pt idx="1">
                  <c:v>3D T2</c:v>
                </c:pt>
                <c:pt idx="2">
                  <c:v>3D FLAIR</c:v>
                </c:pt>
                <c:pt idx="3">
                  <c:v>3D GRE/SWI</c:v>
                </c:pt>
                <c:pt idx="4">
                  <c:v>DTI</c:v>
                </c:pt>
                <c:pt idx="5">
                  <c:v>fMRI</c:v>
                </c:pt>
              </c:strCache>
            </c:strRef>
          </c:cat>
          <c:val>
            <c:numRef>
              <c:f>Sheet1!$F$219:$F$224</c:f>
              <c:numCache>
                <c:formatCode>General</c:formatCode>
                <c:ptCount val="6"/>
                <c:pt idx="0">
                  <c:v>12</c:v>
                </c:pt>
                <c:pt idx="1">
                  <c:v>19</c:v>
                </c:pt>
                <c:pt idx="2">
                  <c:v>23</c:v>
                </c:pt>
                <c:pt idx="3">
                  <c:v>31</c:v>
                </c:pt>
                <c:pt idx="4">
                  <c:v>26</c:v>
                </c:pt>
                <c:pt idx="5">
                  <c:v>27</c:v>
                </c:pt>
              </c:numCache>
            </c:numRef>
          </c:val>
          <c:extLst>
            <c:ext xmlns:c16="http://schemas.microsoft.com/office/drawing/2014/chart" uri="{C3380CC4-5D6E-409C-BE32-E72D297353CC}">
              <c16:uniqueId val="{00000002-E927-4052-8116-1FA394C1D931}"/>
            </c:ext>
          </c:extLst>
        </c:ser>
        <c:dLbls>
          <c:dLblPos val="outEnd"/>
          <c:showLegendKey val="0"/>
          <c:showVal val="1"/>
          <c:showCatName val="0"/>
          <c:showSerName val="0"/>
          <c:showPercent val="0"/>
          <c:showBubbleSize val="0"/>
        </c:dLbls>
        <c:gapWidth val="219"/>
        <c:overlap val="-27"/>
        <c:axId val="800248616"/>
        <c:axId val="800248944"/>
      </c:barChart>
      <c:catAx>
        <c:axId val="800248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800248944"/>
        <c:crosses val="autoZero"/>
        <c:auto val="1"/>
        <c:lblAlgn val="ctr"/>
        <c:lblOffset val="100"/>
        <c:noMultiLvlLbl val="0"/>
      </c:catAx>
      <c:valAx>
        <c:axId val="800248944"/>
        <c:scaling>
          <c:orientation val="minMax"/>
          <c:max val="14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8002486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801517</xdr:colOff>
      <xdr:row>223</xdr:row>
      <xdr:rowOff>28476</xdr:rowOff>
    </xdr:from>
    <xdr:to>
      <xdr:col>6</xdr:col>
      <xdr:colOff>1815353</xdr:colOff>
      <xdr:row>247</xdr:row>
      <xdr:rowOff>89647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300"/>
  <sheetViews>
    <sheetView tabSelected="1" topLeftCell="I1" zoomScale="85" zoomScaleNormal="85" workbookViewId="0">
      <pane ySplit="9" topLeftCell="A117" activePane="bottomLeft" state="frozen"/>
      <selection pane="bottomLeft" activeCell="I119" sqref="I119"/>
    </sheetView>
  </sheetViews>
  <sheetFormatPr defaultRowHeight="15" x14ac:dyDescent="0.25"/>
  <cols>
    <col min="1" max="1" width="13.140625" bestFit="1" customWidth="1"/>
    <col min="2" max="2" width="27.28515625" bestFit="1" customWidth="1"/>
    <col min="3" max="3" width="22.7109375" bestFit="1" customWidth="1"/>
    <col min="4" max="4" width="15.28515625" bestFit="1" customWidth="1"/>
    <col min="5" max="5" width="14.42578125" bestFit="1" customWidth="1"/>
    <col min="6" max="6" width="36.7109375" customWidth="1"/>
    <col min="7" max="7" width="35.42578125" customWidth="1"/>
    <col min="8" max="8" width="33.42578125" customWidth="1"/>
    <col min="9" max="9" width="58" bestFit="1" customWidth="1"/>
    <col min="10" max="10" width="36.5703125" customWidth="1"/>
    <col min="11" max="11" width="35" customWidth="1"/>
    <col min="12" max="12" width="51.5703125" customWidth="1"/>
    <col min="13" max="13" width="22.85546875" bestFit="1" customWidth="1"/>
  </cols>
  <sheetData>
    <row r="1" spans="1:25" ht="33.75" x14ac:dyDescent="0.25">
      <c r="A1" s="111" t="s">
        <v>100</v>
      </c>
      <c r="B1" s="111"/>
      <c r="C1" s="111"/>
      <c r="D1" s="111"/>
      <c r="E1" s="111"/>
      <c r="F1" s="111"/>
      <c r="G1" s="111"/>
      <c r="H1" s="111"/>
      <c r="I1" s="111"/>
      <c r="J1" s="111"/>
      <c r="K1" s="111"/>
    </row>
    <row r="3" spans="1:25" x14ac:dyDescent="0.25">
      <c r="A3" s="113" t="s">
        <v>79</v>
      </c>
      <c r="B3" s="113"/>
      <c r="C3" s="113"/>
    </row>
    <row r="4" spans="1:25" x14ac:dyDescent="0.25">
      <c r="A4" s="114" t="s">
        <v>80</v>
      </c>
      <c r="B4" s="114"/>
      <c r="C4" s="114"/>
    </row>
    <row r="5" spans="1:25" x14ac:dyDescent="0.25">
      <c r="A5" s="112" t="s">
        <v>81</v>
      </c>
      <c r="B5" s="112"/>
      <c r="C5" s="112"/>
    </row>
    <row r="6" spans="1:25" x14ac:dyDescent="0.25">
      <c r="A6" s="115" t="s">
        <v>82</v>
      </c>
      <c r="B6" s="115"/>
      <c r="C6" s="115"/>
    </row>
    <row r="7" spans="1:25" x14ac:dyDescent="0.25">
      <c r="A7" s="110" t="s">
        <v>83</v>
      </c>
      <c r="B7" s="110"/>
      <c r="C7" s="110"/>
    </row>
    <row r="9" spans="1:25" ht="24" customHeight="1" x14ac:dyDescent="0.25">
      <c r="A9" s="39" t="s">
        <v>0</v>
      </c>
      <c r="B9" s="39" t="s">
        <v>104</v>
      </c>
      <c r="C9" s="39" t="s">
        <v>1</v>
      </c>
      <c r="D9" s="39" t="s">
        <v>2</v>
      </c>
      <c r="E9" s="39" t="s">
        <v>3</v>
      </c>
      <c r="F9" s="40" t="s">
        <v>4</v>
      </c>
      <c r="G9" s="40" t="s">
        <v>5</v>
      </c>
      <c r="H9" s="40" t="s">
        <v>6</v>
      </c>
      <c r="I9" s="40" t="s">
        <v>7</v>
      </c>
      <c r="J9" s="40" t="s">
        <v>8</v>
      </c>
      <c r="K9" s="40" t="s">
        <v>9</v>
      </c>
      <c r="L9" s="40" t="s">
        <v>102</v>
      </c>
      <c r="M9" s="40" t="s">
        <v>135</v>
      </c>
      <c r="N9" s="47"/>
      <c r="O9" s="47"/>
      <c r="P9" s="47"/>
      <c r="Q9" s="47"/>
      <c r="R9" s="47"/>
      <c r="S9" s="47"/>
      <c r="T9" s="47"/>
      <c r="U9" s="47"/>
      <c r="V9" s="47"/>
      <c r="W9" s="47"/>
      <c r="X9" s="47"/>
      <c r="Y9" s="47"/>
    </row>
    <row r="10" spans="1:25" ht="27" customHeight="1" x14ac:dyDescent="0.25">
      <c r="A10" s="11">
        <v>17</v>
      </c>
      <c r="B10" s="21">
        <v>1</v>
      </c>
      <c r="C10" s="12">
        <v>42814</v>
      </c>
      <c r="D10" s="13">
        <v>42815</v>
      </c>
      <c r="E10" s="14">
        <f>D10-C10</f>
        <v>1</v>
      </c>
      <c r="F10" s="50" t="s">
        <v>87</v>
      </c>
      <c r="G10" s="2" t="s">
        <v>15</v>
      </c>
      <c r="H10" s="2" t="s">
        <v>15</v>
      </c>
      <c r="I10" s="3" t="s">
        <v>17</v>
      </c>
      <c r="J10" s="1" t="s">
        <v>87</v>
      </c>
      <c r="K10" s="4" t="s">
        <v>16</v>
      </c>
      <c r="L10" s="8"/>
      <c r="M10" s="8"/>
      <c r="N10" s="8"/>
      <c r="O10" s="8"/>
      <c r="P10" s="8"/>
      <c r="Q10" s="8"/>
      <c r="R10" s="8"/>
      <c r="S10" s="8"/>
      <c r="T10" s="8"/>
      <c r="U10" s="8"/>
      <c r="V10" s="8"/>
      <c r="W10" s="8"/>
      <c r="X10" s="8"/>
      <c r="Y10" s="8"/>
    </row>
    <row r="11" spans="1:25" ht="15" customHeight="1" x14ac:dyDescent="0.25">
      <c r="A11" s="11">
        <v>17</v>
      </c>
      <c r="B11" s="21">
        <v>1</v>
      </c>
      <c r="C11" s="12">
        <v>42814</v>
      </c>
      <c r="D11" s="13">
        <v>42831</v>
      </c>
      <c r="E11" s="14">
        <f>D11-C10</f>
        <v>17</v>
      </c>
      <c r="F11" s="50" t="s">
        <v>87</v>
      </c>
      <c r="G11" s="1" t="s">
        <v>87</v>
      </c>
      <c r="H11" s="5" t="s">
        <v>21</v>
      </c>
      <c r="I11" s="9" t="s">
        <v>17</v>
      </c>
      <c r="J11" s="1" t="s">
        <v>87</v>
      </c>
      <c r="K11" s="7" t="s">
        <v>87</v>
      </c>
      <c r="L11" s="8"/>
      <c r="M11" s="8"/>
      <c r="N11" s="8"/>
      <c r="O11" s="8"/>
      <c r="P11" s="8"/>
      <c r="Q11" s="8"/>
      <c r="R11" s="8"/>
      <c r="S11" s="8"/>
      <c r="T11" s="8"/>
      <c r="U11" s="8"/>
      <c r="V11" s="8"/>
      <c r="W11" s="8"/>
      <c r="X11" s="8"/>
      <c r="Y11" s="8"/>
    </row>
    <row r="12" spans="1:25" ht="15" customHeight="1" x14ac:dyDescent="0.25">
      <c r="A12" s="11">
        <v>17</v>
      </c>
      <c r="B12" s="21">
        <v>1</v>
      </c>
      <c r="C12" s="12">
        <v>42814</v>
      </c>
      <c r="D12" s="13">
        <v>43146</v>
      </c>
      <c r="E12" s="14">
        <f>D12-C10</f>
        <v>332</v>
      </c>
      <c r="F12" s="50" t="s">
        <v>87</v>
      </c>
      <c r="G12" s="2" t="s">
        <v>12</v>
      </c>
      <c r="H12" s="5" t="s">
        <v>21</v>
      </c>
      <c r="I12" s="1" t="s">
        <v>87</v>
      </c>
      <c r="J12" s="2" t="s">
        <v>12</v>
      </c>
      <c r="K12" s="7" t="s">
        <v>87</v>
      </c>
      <c r="L12" s="8"/>
      <c r="M12" s="8"/>
      <c r="N12" s="8"/>
      <c r="O12" s="8"/>
      <c r="P12" s="8"/>
      <c r="Q12" s="8"/>
      <c r="R12" s="8"/>
      <c r="S12" s="8"/>
      <c r="T12" s="8"/>
      <c r="U12" s="8"/>
      <c r="V12" s="8"/>
      <c r="W12" s="8"/>
      <c r="X12" s="8"/>
      <c r="Y12" s="8"/>
    </row>
    <row r="13" spans="1:25" ht="15" customHeight="1" x14ac:dyDescent="0.25">
      <c r="A13" s="14">
        <v>17</v>
      </c>
      <c r="B13" s="21">
        <v>2</v>
      </c>
      <c r="C13" s="13">
        <v>42821</v>
      </c>
      <c r="D13" s="14" t="s">
        <v>13</v>
      </c>
      <c r="E13" s="14" t="s">
        <v>13</v>
      </c>
      <c r="F13" s="51" t="s">
        <v>13</v>
      </c>
      <c r="G13" s="52" t="s">
        <v>13</v>
      </c>
      <c r="H13" s="52" t="s">
        <v>13</v>
      </c>
      <c r="I13" s="52" t="s">
        <v>13</v>
      </c>
      <c r="J13" s="52" t="s">
        <v>13</v>
      </c>
      <c r="K13" s="53" t="s">
        <v>13</v>
      </c>
      <c r="L13" s="8"/>
      <c r="M13" s="8"/>
      <c r="N13" s="8"/>
      <c r="O13" s="8"/>
      <c r="P13" s="8"/>
      <c r="Q13" s="8"/>
      <c r="R13" s="8"/>
      <c r="S13" s="8"/>
      <c r="T13" s="8"/>
      <c r="U13" s="8"/>
      <c r="V13" s="8"/>
      <c r="W13" s="8"/>
      <c r="X13" s="8"/>
      <c r="Y13" s="8"/>
    </row>
    <row r="14" spans="1:25" ht="15" customHeight="1" x14ac:dyDescent="0.25">
      <c r="A14" s="14">
        <v>17</v>
      </c>
      <c r="B14" s="21">
        <v>3</v>
      </c>
      <c r="C14" s="13">
        <v>42832</v>
      </c>
      <c r="D14" s="13">
        <v>42849</v>
      </c>
      <c r="E14" s="14">
        <f>D14-C14</f>
        <v>17</v>
      </c>
      <c r="F14" s="50" t="s">
        <v>87</v>
      </c>
      <c r="G14" s="1" t="s">
        <v>87</v>
      </c>
      <c r="H14" s="5" t="s">
        <v>21</v>
      </c>
      <c r="I14" s="1" t="s">
        <v>87</v>
      </c>
      <c r="J14" s="1" t="s">
        <v>87</v>
      </c>
      <c r="K14" s="7" t="s">
        <v>87</v>
      </c>
      <c r="L14" s="8"/>
      <c r="M14" s="8"/>
      <c r="N14" s="8"/>
      <c r="O14" s="8"/>
      <c r="P14" s="8"/>
      <c r="Q14" s="8"/>
      <c r="R14" s="8"/>
      <c r="S14" s="8"/>
      <c r="T14" s="8"/>
      <c r="U14" s="8"/>
      <c r="V14" s="8"/>
      <c r="W14" s="8"/>
      <c r="X14" s="8"/>
      <c r="Y14" s="8"/>
    </row>
    <row r="15" spans="1:25" ht="15" customHeight="1" x14ac:dyDescent="0.25">
      <c r="A15" s="14">
        <v>17</v>
      </c>
      <c r="B15" s="22">
        <v>4</v>
      </c>
      <c r="C15" s="13">
        <v>42882</v>
      </c>
      <c r="D15" s="13">
        <v>42883</v>
      </c>
      <c r="E15" s="14">
        <f>D15-C15</f>
        <v>1</v>
      </c>
      <c r="F15" s="50" t="s">
        <v>87</v>
      </c>
      <c r="G15" s="1" t="s">
        <v>87</v>
      </c>
      <c r="H15" s="5" t="s">
        <v>21</v>
      </c>
      <c r="I15" s="1" t="s">
        <v>87</v>
      </c>
      <c r="J15" s="1" t="s">
        <v>87</v>
      </c>
      <c r="K15" s="7" t="s">
        <v>87</v>
      </c>
      <c r="L15" s="8"/>
      <c r="M15" s="8"/>
      <c r="N15" s="8"/>
      <c r="O15" s="8"/>
      <c r="P15" s="8"/>
      <c r="Q15" s="8"/>
      <c r="R15" s="8"/>
      <c r="S15" s="8"/>
      <c r="T15" s="8"/>
      <c r="U15" s="8"/>
      <c r="V15" s="8"/>
      <c r="W15" s="8"/>
      <c r="X15" s="8"/>
      <c r="Y15" s="8"/>
    </row>
    <row r="16" spans="1:25" ht="15" customHeight="1" x14ac:dyDescent="0.25">
      <c r="A16" s="14">
        <v>17</v>
      </c>
      <c r="B16" s="22">
        <v>4</v>
      </c>
      <c r="C16" s="13">
        <v>42882</v>
      </c>
      <c r="D16" s="13">
        <v>42893</v>
      </c>
      <c r="E16" s="14">
        <f>D16-C15</f>
        <v>11</v>
      </c>
      <c r="F16" s="50" t="s">
        <v>87</v>
      </c>
      <c r="G16" s="1" t="s">
        <v>87</v>
      </c>
      <c r="H16" s="5" t="s">
        <v>21</v>
      </c>
      <c r="I16" s="1" t="s">
        <v>87</v>
      </c>
      <c r="J16" s="1" t="s">
        <v>87</v>
      </c>
      <c r="K16" s="7" t="s">
        <v>87</v>
      </c>
      <c r="L16" s="8"/>
      <c r="M16" s="8"/>
      <c r="N16" s="8"/>
      <c r="O16" s="8"/>
      <c r="P16" s="8"/>
      <c r="Q16" s="8"/>
      <c r="R16" s="8"/>
      <c r="S16" s="8"/>
      <c r="T16" s="8"/>
      <c r="U16" s="8"/>
      <c r="V16" s="8"/>
      <c r="W16" s="8"/>
      <c r="X16" s="8"/>
      <c r="Y16" s="8"/>
    </row>
    <row r="17" spans="1:25" ht="15" customHeight="1" x14ac:dyDescent="0.25">
      <c r="A17" s="14">
        <v>17</v>
      </c>
      <c r="B17" s="22">
        <v>4</v>
      </c>
      <c r="C17" s="13">
        <v>42882</v>
      </c>
      <c r="D17" s="13">
        <v>43040</v>
      </c>
      <c r="E17" s="14">
        <f>D17-C15</f>
        <v>158</v>
      </c>
      <c r="F17" s="50" t="s">
        <v>87</v>
      </c>
      <c r="G17" s="1" t="s">
        <v>87</v>
      </c>
      <c r="H17" s="5" t="s">
        <v>21</v>
      </c>
      <c r="I17" s="1" t="s">
        <v>87</v>
      </c>
      <c r="J17" s="1" t="s">
        <v>87</v>
      </c>
      <c r="K17" s="7" t="s">
        <v>87</v>
      </c>
      <c r="L17" s="8"/>
      <c r="M17" s="8"/>
      <c r="N17" s="8"/>
      <c r="O17" s="8"/>
      <c r="P17" s="8"/>
      <c r="Q17" s="8"/>
      <c r="R17" s="8"/>
      <c r="S17" s="8"/>
      <c r="T17" s="8"/>
      <c r="U17" s="8"/>
      <c r="V17" s="8"/>
      <c r="W17" s="8"/>
      <c r="X17" s="8"/>
      <c r="Y17" s="8"/>
    </row>
    <row r="18" spans="1:25" ht="15" customHeight="1" x14ac:dyDescent="0.25">
      <c r="A18" s="14">
        <v>17</v>
      </c>
      <c r="B18" s="22">
        <v>5</v>
      </c>
      <c r="C18" s="13">
        <v>42934</v>
      </c>
      <c r="D18" s="13">
        <v>42937</v>
      </c>
      <c r="E18" s="14">
        <f>D18-C18</f>
        <v>3</v>
      </c>
      <c r="F18" s="50" t="s">
        <v>87</v>
      </c>
      <c r="G18" s="1" t="s">
        <v>87</v>
      </c>
      <c r="H18" s="5" t="s">
        <v>21</v>
      </c>
      <c r="I18" s="1" t="s">
        <v>87</v>
      </c>
      <c r="J18" s="1" t="s">
        <v>87</v>
      </c>
      <c r="K18" s="7" t="s">
        <v>87</v>
      </c>
      <c r="L18" s="8"/>
      <c r="M18" s="8"/>
      <c r="N18" s="8"/>
      <c r="O18" s="8"/>
      <c r="P18" s="8"/>
      <c r="Q18" s="8"/>
      <c r="R18" s="8"/>
      <c r="S18" s="8"/>
      <c r="T18" s="8"/>
      <c r="U18" s="8"/>
      <c r="V18" s="8"/>
      <c r="W18" s="8"/>
      <c r="X18" s="8"/>
      <c r="Y18" s="8"/>
    </row>
    <row r="19" spans="1:25" ht="15" customHeight="1" x14ac:dyDescent="0.25">
      <c r="A19" s="14">
        <v>17</v>
      </c>
      <c r="B19" s="22">
        <v>5</v>
      </c>
      <c r="C19" s="13">
        <v>42934</v>
      </c>
      <c r="D19" s="13">
        <v>42957</v>
      </c>
      <c r="E19" s="14">
        <f>D19-C19</f>
        <v>23</v>
      </c>
      <c r="F19" s="50" t="s">
        <v>87</v>
      </c>
      <c r="G19" s="2" t="s">
        <v>12</v>
      </c>
      <c r="H19" s="2" t="s">
        <v>12</v>
      </c>
      <c r="I19" s="2" t="s">
        <v>12</v>
      </c>
      <c r="J19" s="2" t="s">
        <v>12</v>
      </c>
      <c r="K19" s="7" t="s">
        <v>87</v>
      </c>
      <c r="L19" s="8"/>
      <c r="M19" s="8"/>
      <c r="N19" s="8"/>
      <c r="O19" s="8"/>
      <c r="P19" s="8"/>
      <c r="Q19" s="8"/>
      <c r="R19" s="8"/>
      <c r="S19" s="8"/>
      <c r="T19" s="8"/>
      <c r="U19" s="8"/>
      <c r="V19" s="8"/>
      <c r="W19" s="8"/>
      <c r="X19" s="8"/>
      <c r="Y19" s="8"/>
    </row>
    <row r="20" spans="1:25" ht="15" customHeight="1" x14ac:dyDescent="0.25">
      <c r="A20" s="14">
        <v>14</v>
      </c>
      <c r="B20" s="22">
        <v>6</v>
      </c>
      <c r="C20" s="13">
        <v>42962</v>
      </c>
      <c r="D20" s="14" t="s">
        <v>13</v>
      </c>
      <c r="E20" s="14" t="s">
        <v>13</v>
      </c>
      <c r="F20" s="51" t="s">
        <v>13</v>
      </c>
      <c r="G20" s="52" t="s">
        <v>13</v>
      </c>
      <c r="H20" s="52" t="s">
        <v>13</v>
      </c>
      <c r="I20" s="52" t="s">
        <v>13</v>
      </c>
      <c r="J20" s="52" t="s">
        <v>13</v>
      </c>
      <c r="K20" s="53" t="s">
        <v>13</v>
      </c>
      <c r="L20" s="8"/>
      <c r="M20" s="8"/>
      <c r="N20" s="8"/>
      <c r="O20" s="8"/>
      <c r="P20" s="8"/>
      <c r="Q20" s="8"/>
      <c r="R20" s="8"/>
      <c r="S20" s="8"/>
      <c r="T20" s="8"/>
      <c r="U20" s="8"/>
      <c r="V20" s="8"/>
      <c r="W20" s="8"/>
      <c r="X20" s="8"/>
      <c r="Y20" s="8"/>
    </row>
    <row r="21" spans="1:25" ht="15" customHeight="1" x14ac:dyDescent="0.25">
      <c r="A21" s="14">
        <v>17</v>
      </c>
      <c r="B21" s="22">
        <v>7</v>
      </c>
      <c r="C21" s="13">
        <v>42969</v>
      </c>
      <c r="D21" s="13">
        <v>42983</v>
      </c>
      <c r="E21" s="14">
        <f t="shared" ref="E21:E26" si="0">D21-C21</f>
        <v>14</v>
      </c>
      <c r="F21" s="50" t="s">
        <v>87</v>
      </c>
      <c r="G21" s="1" t="s">
        <v>87</v>
      </c>
      <c r="H21" s="2" t="s">
        <v>12</v>
      </c>
      <c r="I21" s="2" t="s">
        <v>12</v>
      </c>
      <c r="J21" s="1" t="s">
        <v>87</v>
      </c>
      <c r="K21" s="7" t="s">
        <v>87</v>
      </c>
      <c r="L21" s="8"/>
      <c r="M21" s="8"/>
      <c r="N21" s="8"/>
      <c r="O21" s="8"/>
      <c r="P21" s="8"/>
      <c r="Q21" s="8"/>
      <c r="R21" s="8"/>
      <c r="S21" s="8"/>
      <c r="T21" s="8"/>
      <c r="U21" s="8"/>
      <c r="V21" s="8"/>
      <c r="W21" s="8"/>
      <c r="X21" s="8"/>
      <c r="Y21" s="8"/>
    </row>
    <row r="22" spans="1:25" ht="15" customHeight="1" x14ac:dyDescent="0.25">
      <c r="A22" s="14">
        <v>17</v>
      </c>
      <c r="B22" s="22">
        <v>7</v>
      </c>
      <c r="C22" s="13">
        <v>42969</v>
      </c>
      <c r="D22" s="13">
        <v>42986</v>
      </c>
      <c r="E22" s="14">
        <f t="shared" si="0"/>
        <v>17</v>
      </c>
      <c r="F22" s="50" t="s">
        <v>87</v>
      </c>
      <c r="G22" s="1" t="s">
        <v>87</v>
      </c>
      <c r="H22" s="5" t="s">
        <v>21</v>
      </c>
      <c r="I22" s="1" t="s">
        <v>87</v>
      </c>
      <c r="J22" s="1" t="s">
        <v>87</v>
      </c>
      <c r="K22" s="7" t="s">
        <v>87</v>
      </c>
      <c r="L22" s="8"/>
      <c r="M22" s="8"/>
      <c r="N22" s="8"/>
      <c r="O22" s="8"/>
      <c r="P22" s="8"/>
      <c r="Q22" s="8"/>
      <c r="R22" s="8"/>
      <c r="S22" s="8"/>
      <c r="T22" s="8"/>
      <c r="U22" s="8"/>
      <c r="V22" s="8"/>
      <c r="W22" s="8"/>
      <c r="X22" s="8"/>
      <c r="Y22" s="8"/>
    </row>
    <row r="23" spans="1:25" ht="15" customHeight="1" x14ac:dyDescent="0.25">
      <c r="A23" s="14">
        <v>17</v>
      </c>
      <c r="B23" s="22">
        <v>7</v>
      </c>
      <c r="C23" s="13">
        <v>42969</v>
      </c>
      <c r="D23" s="13">
        <v>43139</v>
      </c>
      <c r="E23" s="14">
        <f t="shared" si="0"/>
        <v>170</v>
      </c>
      <c r="F23" s="50" t="s">
        <v>87</v>
      </c>
      <c r="G23" s="1" t="s">
        <v>87</v>
      </c>
      <c r="H23" s="5" t="s">
        <v>21</v>
      </c>
      <c r="I23" s="1" t="s">
        <v>87</v>
      </c>
      <c r="J23" s="1" t="s">
        <v>87</v>
      </c>
      <c r="K23" s="7" t="s">
        <v>87</v>
      </c>
      <c r="L23" s="8"/>
      <c r="M23" s="8"/>
      <c r="N23" s="8"/>
      <c r="O23" s="8"/>
      <c r="P23" s="8"/>
      <c r="Q23" s="8"/>
      <c r="R23" s="8"/>
      <c r="S23" s="8"/>
      <c r="T23" s="8"/>
      <c r="U23" s="8"/>
      <c r="V23" s="8"/>
      <c r="W23" s="8"/>
      <c r="X23" s="8"/>
      <c r="Y23" s="8"/>
    </row>
    <row r="24" spans="1:25" ht="15" customHeight="1" x14ac:dyDescent="0.25">
      <c r="A24" s="14">
        <v>14</v>
      </c>
      <c r="B24" s="22">
        <v>8</v>
      </c>
      <c r="C24" s="13">
        <v>42987</v>
      </c>
      <c r="D24" s="13">
        <v>42996</v>
      </c>
      <c r="E24" s="15">
        <f t="shared" si="0"/>
        <v>9</v>
      </c>
      <c r="F24" s="50" t="s">
        <v>87</v>
      </c>
      <c r="G24" s="3" t="s">
        <v>20</v>
      </c>
      <c r="H24" s="9" t="s">
        <v>20</v>
      </c>
      <c r="I24" s="1" t="s">
        <v>87</v>
      </c>
      <c r="J24" s="1" t="s">
        <v>87</v>
      </c>
      <c r="K24" s="7" t="s">
        <v>87</v>
      </c>
      <c r="L24" s="8"/>
      <c r="M24" s="8"/>
      <c r="N24" s="8"/>
      <c r="O24" s="8"/>
      <c r="P24" s="8"/>
      <c r="Q24" s="8"/>
      <c r="R24" s="8"/>
      <c r="S24" s="8"/>
      <c r="T24" s="8"/>
      <c r="U24" s="8"/>
      <c r="V24" s="8"/>
      <c r="W24" s="8"/>
      <c r="X24" s="8"/>
      <c r="Y24" s="8"/>
    </row>
    <row r="25" spans="1:25" ht="15" customHeight="1" x14ac:dyDescent="0.25">
      <c r="A25" s="14">
        <v>17</v>
      </c>
      <c r="B25" s="22">
        <v>9</v>
      </c>
      <c r="C25" s="13">
        <v>42995</v>
      </c>
      <c r="D25" s="13">
        <v>43013</v>
      </c>
      <c r="E25" s="15">
        <f t="shared" si="0"/>
        <v>18</v>
      </c>
      <c r="F25" s="50" t="s">
        <v>87</v>
      </c>
      <c r="G25" s="1" t="s">
        <v>87</v>
      </c>
      <c r="H25" s="5" t="s">
        <v>21</v>
      </c>
      <c r="I25" s="1" t="s">
        <v>87</v>
      </c>
      <c r="J25" s="1" t="s">
        <v>87</v>
      </c>
      <c r="K25" s="7" t="s">
        <v>87</v>
      </c>
      <c r="L25" s="8"/>
      <c r="M25" s="8"/>
      <c r="N25" s="8"/>
      <c r="O25" s="8"/>
      <c r="P25" s="8"/>
      <c r="Q25" s="8"/>
      <c r="R25" s="8"/>
      <c r="S25" s="8"/>
      <c r="T25" s="8"/>
      <c r="U25" s="8"/>
      <c r="V25" s="8"/>
      <c r="W25" s="8"/>
      <c r="X25" s="8"/>
      <c r="Y25" s="8"/>
    </row>
    <row r="26" spans="1:25" ht="15" customHeight="1" x14ac:dyDescent="0.25">
      <c r="A26" s="14">
        <v>17</v>
      </c>
      <c r="B26" s="22">
        <v>10</v>
      </c>
      <c r="C26" s="13">
        <v>43038</v>
      </c>
      <c r="D26" s="13">
        <v>43039</v>
      </c>
      <c r="E26" s="15">
        <f t="shared" si="0"/>
        <v>1</v>
      </c>
      <c r="F26" s="50" t="s">
        <v>87</v>
      </c>
      <c r="G26" s="1" t="s">
        <v>87</v>
      </c>
      <c r="H26" s="5" t="s">
        <v>21</v>
      </c>
      <c r="I26" s="1" t="s">
        <v>87</v>
      </c>
      <c r="J26" s="1" t="s">
        <v>87</v>
      </c>
      <c r="K26" s="7" t="s">
        <v>87</v>
      </c>
      <c r="L26" s="8"/>
      <c r="M26" s="8"/>
      <c r="N26" s="8"/>
      <c r="O26" s="8"/>
      <c r="P26" s="8"/>
      <c r="Q26" s="8"/>
      <c r="R26" s="8"/>
      <c r="S26" s="8"/>
      <c r="T26" s="8"/>
      <c r="U26" s="8"/>
      <c r="V26" s="8"/>
      <c r="W26" s="8"/>
      <c r="X26" s="8"/>
      <c r="Y26" s="8"/>
    </row>
    <row r="27" spans="1:25" ht="15" customHeight="1" x14ac:dyDescent="0.25">
      <c r="A27" s="14">
        <v>24</v>
      </c>
      <c r="B27" s="22">
        <v>11</v>
      </c>
      <c r="C27" s="13">
        <v>43046</v>
      </c>
      <c r="D27" s="14" t="s">
        <v>13</v>
      </c>
      <c r="E27" s="14" t="s">
        <v>13</v>
      </c>
      <c r="F27" s="51" t="s">
        <v>13</v>
      </c>
      <c r="G27" s="52" t="s">
        <v>13</v>
      </c>
      <c r="H27" s="52" t="s">
        <v>13</v>
      </c>
      <c r="I27" s="52" t="s">
        <v>13</v>
      </c>
      <c r="J27" s="52" t="s">
        <v>13</v>
      </c>
      <c r="K27" s="53" t="s">
        <v>13</v>
      </c>
      <c r="L27" s="8"/>
      <c r="M27" s="8"/>
      <c r="N27" s="8"/>
      <c r="O27" s="8"/>
      <c r="P27" s="8"/>
      <c r="Q27" s="8"/>
      <c r="R27" s="8"/>
      <c r="S27" s="8"/>
      <c r="T27" s="8"/>
      <c r="U27" s="8"/>
      <c r="V27" s="8"/>
      <c r="W27" s="8"/>
      <c r="X27" s="8"/>
      <c r="Y27" s="8"/>
    </row>
    <row r="28" spans="1:25" ht="15" customHeight="1" x14ac:dyDescent="0.25">
      <c r="A28" s="14">
        <v>17</v>
      </c>
      <c r="B28" s="22">
        <v>12</v>
      </c>
      <c r="C28" s="13">
        <v>43056</v>
      </c>
      <c r="D28" s="13">
        <v>43057</v>
      </c>
      <c r="E28" s="15">
        <f t="shared" ref="E28:E38" si="1">D28-C28</f>
        <v>1</v>
      </c>
      <c r="F28" s="50" t="s">
        <v>87</v>
      </c>
      <c r="G28" s="1" t="s">
        <v>87</v>
      </c>
      <c r="H28" s="5" t="s">
        <v>21</v>
      </c>
      <c r="I28" s="1" t="s">
        <v>87</v>
      </c>
      <c r="J28" s="1" t="s">
        <v>87</v>
      </c>
      <c r="K28" s="7" t="s">
        <v>87</v>
      </c>
      <c r="L28" s="8"/>
      <c r="M28" s="8"/>
      <c r="N28" s="8"/>
      <c r="O28" s="8"/>
      <c r="P28" s="8"/>
      <c r="Q28" s="8"/>
      <c r="R28" s="8"/>
      <c r="S28" s="8"/>
      <c r="T28" s="8"/>
      <c r="U28" s="8"/>
      <c r="V28" s="8"/>
      <c r="W28" s="8"/>
      <c r="X28" s="8"/>
      <c r="Y28" s="8"/>
    </row>
    <row r="29" spans="1:25" ht="15" customHeight="1" x14ac:dyDescent="0.25">
      <c r="A29" s="14">
        <v>17</v>
      </c>
      <c r="B29" s="22">
        <v>12</v>
      </c>
      <c r="C29" s="13">
        <v>43056</v>
      </c>
      <c r="D29" s="13">
        <v>43230</v>
      </c>
      <c r="E29" s="15">
        <f t="shared" si="1"/>
        <v>174</v>
      </c>
      <c r="F29" s="50" t="s">
        <v>87</v>
      </c>
      <c r="G29" s="1" t="s">
        <v>87</v>
      </c>
      <c r="H29" s="5" t="s">
        <v>21</v>
      </c>
      <c r="I29" s="1" t="s">
        <v>87</v>
      </c>
      <c r="J29" s="1" t="s">
        <v>87</v>
      </c>
      <c r="K29" s="7" t="s">
        <v>87</v>
      </c>
      <c r="L29" s="8"/>
      <c r="M29" s="8"/>
      <c r="N29" s="8"/>
      <c r="O29" s="8"/>
      <c r="P29" s="8"/>
      <c r="Q29" s="8"/>
      <c r="R29" s="8"/>
      <c r="S29" s="8"/>
      <c r="T29" s="8"/>
      <c r="U29" s="8"/>
      <c r="V29" s="8"/>
      <c r="W29" s="8"/>
      <c r="X29" s="8"/>
      <c r="Y29" s="8"/>
    </row>
    <row r="30" spans="1:25" ht="23.25" customHeight="1" x14ac:dyDescent="0.25">
      <c r="A30" s="14">
        <v>16</v>
      </c>
      <c r="B30" s="22">
        <v>13</v>
      </c>
      <c r="C30" s="13">
        <v>43062</v>
      </c>
      <c r="D30" s="16">
        <v>43083</v>
      </c>
      <c r="E30" s="15">
        <f t="shared" si="1"/>
        <v>21</v>
      </c>
      <c r="F30" s="50" t="s">
        <v>87</v>
      </c>
      <c r="G30" s="3" t="s">
        <v>17</v>
      </c>
      <c r="H30" s="3" t="s">
        <v>17</v>
      </c>
      <c r="I30" s="2" t="s">
        <v>14</v>
      </c>
      <c r="J30" s="9" t="s">
        <v>19</v>
      </c>
      <c r="K30" s="7" t="s">
        <v>87</v>
      </c>
    </row>
    <row r="31" spans="1:25" ht="23.25" customHeight="1" x14ac:dyDescent="0.25">
      <c r="A31" s="14">
        <v>14</v>
      </c>
      <c r="B31" s="23">
        <v>14</v>
      </c>
      <c r="C31" s="17">
        <v>43066</v>
      </c>
      <c r="D31" s="16">
        <v>43075</v>
      </c>
      <c r="E31" s="15">
        <f t="shared" si="1"/>
        <v>9</v>
      </c>
      <c r="F31" s="50" t="s">
        <v>87</v>
      </c>
      <c r="G31" s="3" t="s">
        <v>10</v>
      </c>
      <c r="H31" s="3" t="s">
        <v>10</v>
      </c>
      <c r="I31" s="1" t="s">
        <v>87</v>
      </c>
      <c r="J31" s="1" t="s">
        <v>87</v>
      </c>
      <c r="K31" s="10" t="s">
        <v>29</v>
      </c>
    </row>
    <row r="32" spans="1:25" ht="23.25" customHeight="1" x14ac:dyDescent="0.25">
      <c r="A32" s="15">
        <v>14</v>
      </c>
      <c r="B32" s="24">
        <v>15</v>
      </c>
      <c r="C32" s="13">
        <v>43071</v>
      </c>
      <c r="D32" s="13">
        <v>43077</v>
      </c>
      <c r="E32" s="15">
        <f t="shared" si="1"/>
        <v>6</v>
      </c>
      <c r="F32" s="50" t="s">
        <v>87</v>
      </c>
      <c r="G32" s="3" t="s">
        <v>10</v>
      </c>
      <c r="H32" s="3" t="s">
        <v>10</v>
      </c>
      <c r="I32" s="1" t="s">
        <v>87</v>
      </c>
      <c r="J32" s="1" t="s">
        <v>87</v>
      </c>
      <c r="K32" s="10" t="s">
        <v>29</v>
      </c>
    </row>
    <row r="33" spans="1:11" ht="23.25" customHeight="1" x14ac:dyDescent="0.25">
      <c r="A33" s="15">
        <v>16</v>
      </c>
      <c r="B33" s="24">
        <v>16</v>
      </c>
      <c r="C33" s="13">
        <v>43079</v>
      </c>
      <c r="D33" s="13">
        <v>43089</v>
      </c>
      <c r="E33" s="15">
        <f t="shared" si="1"/>
        <v>10</v>
      </c>
      <c r="F33" s="50" t="s">
        <v>87</v>
      </c>
      <c r="G33" s="3" t="s">
        <v>10</v>
      </c>
      <c r="H33" s="3" t="s">
        <v>10</v>
      </c>
      <c r="I33" s="2" t="s">
        <v>14</v>
      </c>
      <c r="J33" s="6" t="s">
        <v>27</v>
      </c>
      <c r="K33" s="7" t="s">
        <v>87</v>
      </c>
    </row>
    <row r="34" spans="1:11" ht="36.75" customHeight="1" x14ac:dyDescent="0.25">
      <c r="A34" s="15">
        <v>16</v>
      </c>
      <c r="B34" s="24">
        <v>17</v>
      </c>
      <c r="C34" s="13">
        <v>43090</v>
      </c>
      <c r="D34" s="13">
        <v>43118</v>
      </c>
      <c r="E34" s="15">
        <f t="shared" si="1"/>
        <v>28</v>
      </c>
      <c r="F34" s="54" t="s">
        <v>23</v>
      </c>
      <c r="G34" s="55" t="s">
        <v>23</v>
      </c>
      <c r="H34" s="55" t="s">
        <v>23</v>
      </c>
      <c r="I34" s="55" t="s">
        <v>98</v>
      </c>
      <c r="J34" s="55" t="s">
        <v>25</v>
      </c>
      <c r="K34" s="56" t="s">
        <v>99</v>
      </c>
    </row>
    <row r="35" spans="1:11" ht="23.25" customHeight="1" x14ac:dyDescent="0.25">
      <c r="A35" s="15">
        <v>23</v>
      </c>
      <c r="B35" s="24">
        <v>18</v>
      </c>
      <c r="C35" s="13">
        <v>43096</v>
      </c>
      <c r="D35" s="13">
        <v>43123</v>
      </c>
      <c r="E35" s="15">
        <f t="shared" si="1"/>
        <v>27</v>
      </c>
      <c r="F35" s="57" t="s">
        <v>12</v>
      </c>
      <c r="G35" s="19" t="s">
        <v>23</v>
      </c>
      <c r="H35" s="2" t="s">
        <v>24</v>
      </c>
      <c r="I35" s="2" t="s">
        <v>24</v>
      </c>
      <c r="J35" s="19" t="s">
        <v>25</v>
      </c>
      <c r="K35" s="20" t="s">
        <v>12</v>
      </c>
    </row>
    <row r="36" spans="1:11" ht="15" customHeight="1" x14ac:dyDescent="0.25">
      <c r="A36" s="15">
        <v>17</v>
      </c>
      <c r="B36" s="24">
        <v>19</v>
      </c>
      <c r="C36" s="13">
        <v>43113</v>
      </c>
      <c r="D36" s="13">
        <v>43114</v>
      </c>
      <c r="E36" s="15">
        <f t="shared" si="1"/>
        <v>1</v>
      </c>
      <c r="F36" s="50" t="s">
        <v>87</v>
      </c>
      <c r="G36" s="1" t="s">
        <v>87</v>
      </c>
      <c r="H36" s="5" t="s">
        <v>21</v>
      </c>
      <c r="I36" s="2" t="s">
        <v>26</v>
      </c>
      <c r="J36" s="1" t="s">
        <v>87</v>
      </c>
      <c r="K36" s="7" t="s">
        <v>87</v>
      </c>
    </row>
    <row r="37" spans="1:11" ht="15" customHeight="1" x14ac:dyDescent="0.25">
      <c r="A37" s="15">
        <v>17</v>
      </c>
      <c r="B37" s="24">
        <v>19</v>
      </c>
      <c r="C37" s="13">
        <v>43113</v>
      </c>
      <c r="D37" s="13">
        <v>43146</v>
      </c>
      <c r="E37" s="15">
        <f t="shared" si="1"/>
        <v>33</v>
      </c>
      <c r="F37" s="50" t="s">
        <v>87</v>
      </c>
      <c r="G37" s="1" t="s">
        <v>87</v>
      </c>
      <c r="H37" s="5" t="s">
        <v>21</v>
      </c>
      <c r="I37" s="1" t="s">
        <v>87</v>
      </c>
      <c r="J37" s="1" t="s">
        <v>87</v>
      </c>
      <c r="K37" s="7" t="s">
        <v>87</v>
      </c>
    </row>
    <row r="38" spans="1:11" ht="15" customHeight="1" x14ac:dyDescent="0.25">
      <c r="A38" s="15">
        <v>17</v>
      </c>
      <c r="B38" s="24">
        <v>19</v>
      </c>
      <c r="C38" s="13">
        <v>43113</v>
      </c>
      <c r="D38" s="13">
        <v>43300</v>
      </c>
      <c r="E38" s="15">
        <f t="shared" si="1"/>
        <v>187</v>
      </c>
      <c r="F38" s="50" t="s">
        <v>87</v>
      </c>
      <c r="G38" s="1" t="s">
        <v>87</v>
      </c>
      <c r="H38" s="5" t="s">
        <v>21</v>
      </c>
      <c r="I38" s="1" t="s">
        <v>87</v>
      </c>
      <c r="J38" s="1" t="s">
        <v>87</v>
      </c>
      <c r="K38" s="7" t="s">
        <v>87</v>
      </c>
    </row>
    <row r="39" spans="1:11" ht="15" customHeight="1" x14ac:dyDescent="0.25">
      <c r="A39" s="15">
        <v>19</v>
      </c>
      <c r="B39" s="24">
        <v>20</v>
      </c>
      <c r="C39" s="13">
        <v>43496</v>
      </c>
      <c r="D39" s="14" t="s">
        <v>13</v>
      </c>
      <c r="E39" s="14" t="s">
        <v>13</v>
      </c>
      <c r="F39" s="51" t="s">
        <v>13</v>
      </c>
      <c r="G39" s="52" t="s">
        <v>13</v>
      </c>
      <c r="H39" s="52" t="s">
        <v>13</v>
      </c>
      <c r="I39" s="52" t="s">
        <v>13</v>
      </c>
      <c r="J39" s="52" t="s">
        <v>13</v>
      </c>
      <c r="K39" s="53" t="s">
        <v>13</v>
      </c>
    </row>
    <row r="40" spans="1:11" ht="23.25" customHeight="1" x14ac:dyDescent="0.25">
      <c r="A40" s="15">
        <v>16</v>
      </c>
      <c r="B40" s="24">
        <v>21</v>
      </c>
      <c r="C40" s="13">
        <v>43132</v>
      </c>
      <c r="D40" s="13">
        <v>43146</v>
      </c>
      <c r="E40" s="15">
        <f>D40-C40</f>
        <v>14</v>
      </c>
      <c r="F40" s="50" t="s">
        <v>87</v>
      </c>
      <c r="G40" s="3" t="s">
        <v>10</v>
      </c>
      <c r="H40" s="3" t="s">
        <v>10</v>
      </c>
      <c r="I40" s="2" t="s">
        <v>12</v>
      </c>
      <c r="J40" s="6" t="s">
        <v>27</v>
      </c>
      <c r="K40" s="7" t="s">
        <v>87</v>
      </c>
    </row>
    <row r="41" spans="1:11" ht="23.25" customHeight="1" x14ac:dyDescent="0.25">
      <c r="A41" s="15">
        <v>16</v>
      </c>
      <c r="B41" s="24">
        <v>22</v>
      </c>
      <c r="C41" s="13">
        <v>43133</v>
      </c>
      <c r="D41" s="13">
        <v>43140</v>
      </c>
      <c r="E41" s="15">
        <f>D41-C41</f>
        <v>7</v>
      </c>
      <c r="F41" s="50" t="s">
        <v>87</v>
      </c>
      <c r="G41" s="2" t="s">
        <v>12</v>
      </c>
      <c r="H41" s="2" t="s">
        <v>12</v>
      </c>
      <c r="I41" s="2" t="s">
        <v>14</v>
      </c>
      <c r="J41" s="6" t="s">
        <v>27</v>
      </c>
      <c r="K41" s="20" t="s">
        <v>12</v>
      </c>
    </row>
    <row r="42" spans="1:11" ht="23.25" customHeight="1" x14ac:dyDescent="0.25">
      <c r="A42" s="15">
        <v>16</v>
      </c>
      <c r="B42" s="24">
        <v>23</v>
      </c>
      <c r="C42" s="13">
        <v>43135</v>
      </c>
      <c r="D42" s="13">
        <v>43144</v>
      </c>
      <c r="E42" s="15">
        <f>D42-C42</f>
        <v>9</v>
      </c>
      <c r="F42" s="50" t="s">
        <v>87</v>
      </c>
      <c r="G42" s="3" t="s">
        <v>10</v>
      </c>
      <c r="H42" s="3" t="s">
        <v>10</v>
      </c>
      <c r="I42" s="2" t="s">
        <v>14</v>
      </c>
      <c r="J42" s="6" t="s">
        <v>27</v>
      </c>
      <c r="K42" s="7" t="s">
        <v>87</v>
      </c>
    </row>
    <row r="43" spans="1:11" ht="15" customHeight="1" x14ac:dyDescent="0.25">
      <c r="A43" s="15">
        <v>13</v>
      </c>
      <c r="B43" s="24">
        <v>24</v>
      </c>
      <c r="C43" s="13">
        <v>43138</v>
      </c>
      <c r="D43" s="13">
        <v>43140</v>
      </c>
      <c r="E43" s="15">
        <f>D43-C43</f>
        <v>2</v>
      </c>
      <c r="F43" s="57" t="s">
        <v>28</v>
      </c>
      <c r="G43" s="2" t="s">
        <v>28</v>
      </c>
      <c r="H43" s="2" t="s">
        <v>28</v>
      </c>
      <c r="I43" s="2" t="s">
        <v>28</v>
      </c>
      <c r="J43" s="2" t="s">
        <v>28</v>
      </c>
      <c r="K43" s="20" t="s">
        <v>28</v>
      </c>
    </row>
    <row r="44" spans="1:11" ht="15" customHeight="1" x14ac:dyDescent="0.25">
      <c r="A44" s="15">
        <v>13</v>
      </c>
      <c r="B44" s="24">
        <v>24</v>
      </c>
      <c r="C44" s="13">
        <v>43138</v>
      </c>
      <c r="D44" s="13">
        <v>43152</v>
      </c>
      <c r="E44" s="15">
        <f>D44-C44</f>
        <v>14</v>
      </c>
      <c r="F44" s="50" t="s">
        <v>87</v>
      </c>
      <c r="G44" s="1" t="s">
        <v>87</v>
      </c>
      <c r="H44" s="1" t="s">
        <v>87</v>
      </c>
      <c r="I44" s="1" t="s">
        <v>87</v>
      </c>
      <c r="J44" s="1" t="s">
        <v>87</v>
      </c>
      <c r="K44" s="7" t="s">
        <v>87</v>
      </c>
    </row>
    <row r="45" spans="1:11" ht="15" customHeight="1" x14ac:dyDescent="0.25">
      <c r="A45" s="15">
        <v>16</v>
      </c>
      <c r="B45" s="24">
        <v>25</v>
      </c>
      <c r="C45" s="13">
        <v>43153</v>
      </c>
      <c r="D45" s="14" t="s">
        <v>13</v>
      </c>
      <c r="E45" s="14" t="s">
        <v>13</v>
      </c>
      <c r="F45" s="51" t="s">
        <v>13</v>
      </c>
      <c r="G45" s="52" t="s">
        <v>13</v>
      </c>
      <c r="H45" s="52" t="s">
        <v>13</v>
      </c>
      <c r="I45" s="52" t="s">
        <v>13</v>
      </c>
      <c r="J45" s="52" t="s">
        <v>13</v>
      </c>
      <c r="K45" s="53" t="s">
        <v>13</v>
      </c>
    </row>
    <row r="46" spans="1:11" ht="23.25" customHeight="1" x14ac:dyDescent="0.25">
      <c r="A46" s="15">
        <v>14</v>
      </c>
      <c r="B46" s="24">
        <v>26</v>
      </c>
      <c r="C46" s="13">
        <v>43158</v>
      </c>
      <c r="D46" s="13">
        <v>43159</v>
      </c>
      <c r="E46" s="15">
        <f>D46-C46</f>
        <v>1</v>
      </c>
      <c r="F46" s="58" t="s">
        <v>30</v>
      </c>
      <c r="G46" s="9" t="s">
        <v>31</v>
      </c>
      <c r="H46" s="9" t="s">
        <v>32</v>
      </c>
      <c r="I46" s="2" t="s">
        <v>33</v>
      </c>
      <c r="J46" s="19" t="s">
        <v>34</v>
      </c>
      <c r="K46" s="7" t="s">
        <v>87</v>
      </c>
    </row>
    <row r="47" spans="1:11" ht="23.25" customHeight="1" x14ac:dyDescent="0.25">
      <c r="A47" s="15">
        <v>16</v>
      </c>
      <c r="B47" s="24">
        <v>27</v>
      </c>
      <c r="C47" s="13">
        <v>43168</v>
      </c>
      <c r="D47" s="13">
        <v>43185</v>
      </c>
      <c r="E47" s="15">
        <f>D47-C47</f>
        <v>17</v>
      </c>
      <c r="F47" s="50" t="s">
        <v>87</v>
      </c>
      <c r="G47" s="3" t="s">
        <v>10</v>
      </c>
      <c r="H47" s="3" t="s">
        <v>10</v>
      </c>
      <c r="I47" s="2" t="s">
        <v>14</v>
      </c>
      <c r="J47" s="6" t="s">
        <v>22</v>
      </c>
      <c r="K47" s="7" t="s">
        <v>87</v>
      </c>
    </row>
    <row r="48" spans="1:11" ht="15" customHeight="1" x14ac:dyDescent="0.25">
      <c r="A48" s="15">
        <v>24</v>
      </c>
      <c r="B48" s="24">
        <v>28</v>
      </c>
      <c r="C48" s="13">
        <v>43173</v>
      </c>
      <c r="D48" s="13">
        <v>43179</v>
      </c>
      <c r="E48" s="15">
        <f>D48-C48</f>
        <v>6</v>
      </c>
      <c r="F48" s="50" t="s">
        <v>87</v>
      </c>
      <c r="G48" s="1" t="s">
        <v>87</v>
      </c>
      <c r="H48" s="5" t="s">
        <v>21</v>
      </c>
      <c r="I48" s="1" t="s">
        <v>87</v>
      </c>
      <c r="J48" s="6" t="s">
        <v>89</v>
      </c>
      <c r="K48" s="20" t="s">
        <v>12</v>
      </c>
    </row>
    <row r="49" spans="1:11" ht="15" customHeight="1" x14ac:dyDescent="0.25">
      <c r="A49" s="15">
        <v>19</v>
      </c>
      <c r="B49" s="24">
        <v>29</v>
      </c>
      <c r="C49" s="13">
        <v>43187</v>
      </c>
      <c r="D49" s="14" t="s">
        <v>13</v>
      </c>
      <c r="E49" s="14" t="s">
        <v>13</v>
      </c>
      <c r="F49" s="59" t="s">
        <v>13</v>
      </c>
      <c r="G49" s="60" t="s">
        <v>13</v>
      </c>
      <c r="H49" s="60" t="s">
        <v>13</v>
      </c>
      <c r="I49" s="60" t="s">
        <v>13</v>
      </c>
      <c r="J49" s="60" t="s">
        <v>13</v>
      </c>
      <c r="K49" s="61" t="s">
        <v>13</v>
      </c>
    </row>
    <row r="50" spans="1:11" ht="15" customHeight="1" x14ac:dyDescent="0.25">
      <c r="A50" s="15">
        <v>17</v>
      </c>
      <c r="B50" s="24">
        <v>30</v>
      </c>
      <c r="C50" s="13">
        <v>43193</v>
      </c>
      <c r="D50" s="13">
        <v>43195</v>
      </c>
      <c r="E50" s="14">
        <f>D50-C50</f>
        <v>2</v>
      </c>
      <c r="F50" s="50" t="s">
        <v>87</v>
      </c>
      <c r="G50" s="1" t="s">
        <v>87</v>
      </c>
      <c r="H50" s="5" t="s">
        <v>21</v>
      </c>
      <c r="I50" s="1" t="s">
        <v>87</v>
      </c>
      <c r="J50" s="1" t="s">
        <v>87</v>
      </c>
      <c r="K50" s="7"/>
    </row>
    <row r="51" spans="1:11" ht="34.5" customHeight="1" x14ac:dyDescent="0.25">
      <c r="A51" s="15">
        <v>17</v>
      </c>
      <c r="B51" s="24">
        <v>30</v>
      </c>
      <c r="C51" s="13">
        <v>43193</v>
      </c>
      <c r="D51" s="13">
        <v>43370</v>
      </c>
      <c r="E51" s="14">
        <f>D51-C51</f>
        <v>177</v>
      </c>
      <c r="F51" s="50" t="s">
        <v>87</v>
      </c>
      <c r="G51" s="1" t="s">
        <v>87</v>
      </c>
      <c r="H51" s="5" t="s">
        <v>35</v>
      </c>
      <c r="I51" s="1" t="s">
        <v>87</v>
      </c>
      <c r="J51" s="1"/>
      <c r="K51" s="4" t="s">
        <v>36</v>
      </c>
    </row>
    <row r="52" spans="1:11" ht="15" customHeight="1" x14ac:dyDescent="0.25">
      <c r="A52" s="15">
        <v>17</v>
      </c>
      <c r="B52" s="24">
        <v>31</v>
      </c>
      <c r="C52" s="25">
        <v>43197</v>
      </c>
      <c r="D52" s="25">
        <v>43198</v>
      </c>
      <c r="E52" s="15">
        <f>D52-C52</f>
        <v>1</v>
      </c>
      <c r="F52" s="50" t="s">
        <v>87</v>
      </c>
      <c r="G52" s="1" t="s">
        <v>87</v>
      </c>
      <c r="H52" s="5" t="s">
        <v>21</v>
      </c>
      <c r="I52" s="2" t="s">
        <v>12</v>
      </c>
      <c r="J52" s="1" t="s">
        <v>87</v>
      </c>
      <c r="K52" s="7" t="s">
        <v>87</v>
      </c>
    </row>
    <row r="53" spans="1:11" ht="15" customHeight="1" x14ac:dyDescent="0.25">
      <c r="A53" s="15">
        <v>17</v>
      </c>
      <c r="B53" s="24">
        <v>31</v>
      </c>
      <c r="C53" s="25">
        <v>43197</v>
      </c>
      <c r="D53" s="25">
        <v>43208</v>
      </c>
      <c r="E53" s="15">
        <f>D53-C53</f>
        <v>11</v>
      </c>
      <c r="F53" s="50" t="s">
        <v>87</v>
      </c>
      <c r="G53" s="1" t="s">
        <v>87</v>
      </c>
      <c r="H53" s="5" t="s">
        <v>21</v>
      </c>
      <c r="I53" s="1" t="s">
        <v>87</v>
      </c>
      <c r="J53" s="1" t="s">
        <v>87</v>
      </c>
      <c r="K53" s="7" t="s">
        <v>87</v>
      </c>
    </row>
    <row r="54" spans="1:11" ht="15" customHeight="1" x14ac:dyDescent="0.25">
      <c r="A54" s="15">
        <v>17</v>
      </c>
      <c r="B54" s="24">
        <v>31</v>
      </c>
      <c r="C54" s="25">
        <v>43197</v>
      </c>
      <c r="D54" s="25">
        <v>43215</v>
      </c>
      <c r="E54" s="15">
        <f>D54-C54</f>
        <v>18</v>
      </c>
      <c r="F54" s="50" t="s">
        <v>87</v>
      </c>
      <c r="G54" s="1" t="s">
        <v>87</v>
      </c>
      <c r="H54" s="5" t="s">
        <v>21</v>
      </c>
      <c r="I54" s="1" t="s">
        <v>87</v>
      </c>
      <c r="J54" s="1" t="s">
        <v>87</v>
      </c>
      <c r="K54" s="7" t="s">
        <v>87</v>
      </c>
    </row>
    <row r="55" spans="1:11" ht="15" customHeight="1" x14ac:dyDescent="0.25">
      <c r="A55" s="15">
        <v>16</v>
      </c>
      <c r="B55" s="24">
        <v>32</v>
      </c>
      <c r="C55" s="25">
        <v>43200</v>
      </c>
      <c r="D55" s="18" t="s">
        <v>13</v>
      </c>
      <c r="E55" s="18" t="s">
        <v>13</v>
      </c>
      <c r="F55" s="59" t="s">
        <v>13</v>
      </c>
      <c r="G55" s="60" t="s">
        <v>13</v>
      </c>
      <c r="H55" s="60" t="s">
        <v>13</v>
      </c>
      <c r="I55" s="60" t="s">
        <v>13</v>
      </c>
      <c r="J55" s="60" t="s">
        <v>13</v>
      </c>
      <c r="K55" s="61" t="s">
        <v>13</v>
      </c>
    </row>
    <row r="56" spans="1:11" ht="23.25" customHeight="1" x14ac:dyDescent="0.25">
      <c r="A56" s="15">
        <v>16</v>
      </c>
      <c r="B56" s="24">
        <v>33</v>
      </c>
      <c r="C56" s="25">
        <v>43200</v>
      </c>
      <c r="D56" s="25">
        <v>43215</v>
      </c>
      <c r="E56" s="15">
        <f>D56-C56</f>
        <v>15</v>
      </c>
      <c r="F56" s="50" t="s">
        <v>87</v>
      </c>
      <c r="G56" s="3" t="s">
        <v>10</v>
      </c>
      <c r="H56" s="3" t="s">
        <v>10</v>
      </c>
      <c r="I56" s="2" t="s">
        <v>14</v>
      </c>
      <c r="J56" s="6" t="s">
        <v>22</v>
      </c>
      <c r="K56" s="7" t="s">
        <v>87</v>
      </c>
    </row>
    <row r="57" spans="1:11" ht="15" customHeight="1" x14ac:dyDescent="0.25">
      <c r="A57" s="15">
        <v>13</v>
      </c>
      <c r="B57" s="24">
        <v>34</v>
      </c>
      <c r="C57" s="25">
        <v>43198</v>
      </c>
      <c r="D57" s="25">
        <v>43203</v>
      </c>
      <c r="E57" s="15">
        <f>D57-C57</f>
        <v>5</v>
      </c>
      <c r="F57" s="50" t="s">
        <v>87</v>
      </c>
      <c r="G57" s="1" t="s">
        <v>87</v>
      </c>
      <c r="H57" s="1" t="s">
        <v>87</v>
      </c>
      <c r="I57" s="1" t="s">
        <v>87</v>
      </c>
      <c r="J57" s="1" t="s">
        <v>87</v>
      </c>
      <c r="K57" s="7" t="s">
        <v>87</v>
      </c>
    </row>
    <row r="58" spans="1:11" ht="15" customHeight="1" x14ac:dyDescent="0.25">
      <c r="A58" s="15">
        <v>24</v>
      </c>
      <c r="B58" s="24">
        <v>35</v>
      </c>
      <c r="C58" s="25">
        <v>43202</v>
      </c>
      <c r="D58" s="25">
        <v>43210</v>
      </c>
      <c r="E58" s="15">
        <f>D58-C58</f>
        <v>8</v>
      </c>
      <c r="F58" s="50" t="s">
        <v>87</v>
      </c>
      <c r="G58" s="1" t="s">
        <v>87</v>
      </c>
      <c r="H58" s="2" t="s">
        <v>12</v>
      </c>
      <c r="I58" s="1" t="s">
        <v>87</v>
      </c>
      <c r="J58" s="1" t="s">
        <v>87</v>
      </c>
      <c r="K58" s="7" t="s">
        <v>87</v>
      </c>
    </row>
    <row r="59" spans="1:11" ht="23.25" customHeight="1" x14ac:dyDescent="0.25">
      <c r="A59" s="15">
        <v>16</v>
      </c>
      <c r="B59" s="24">
        <v>36</v>
      </c>
      <c r="C59" s="25">
        <v>43204</v>
      </c>
      <c r="D59" s="25">
        <v>43236</v>
      </c>
      <c r="E59" s="15">
        <f>D59-C59</f>
        <v>32</v>
      </c>
      <c r="F59" s="50" t="s">
        <v>87</v>
      </c>
      <c r="G59" s="3" t="s">
        <v>10</v>
      </c>
      <c r="H59" s="3" t="s">
        <v>10</v>
      </c>
      <c r="I59" s="2" t="s">
        <v>14</v>
      </c>
      <c r="J59" s="6" t="s">
        <v>22</v>
      </c>
      <c r="K59" s="7" t="s">
        <v>87</v>
      </c>
    </row>
    <row r="60" spans="1:11" ht="15" customHeight="1" x14ac:dyDescent="0.25">
      <c r="A60" s="15">
        <v>22</v>
      </c>
      <c r="B60" s="24">
        <v>37</v>
      </c>
      <c r="C60" s="25">
        <v>43207</v>
      </c>
      <c r="D60" s="18" t="s">
        <v>13</v>
      </c>
      <c r="E60" s="18" t="s">
        <v>13</v>
      </c>
      <c r="F60" s="59" t="s">
        <v>13</v>
      </c>
      <c r="G60" s="60" t="s">
        <v>13</v>
      </c>
      <c r="H60" s="60" t="s">
        <v>13</v>
      </c>
      <c r="I60" s="60" t="s">
        <v>13</v>
      </c>
      <c r="J60" s="60" t="s">
        <v>13</v>
      </c>
      <c r="K60" s="61" t="s">
        <v>13</v>
      </c>
    </row>
    <row r="61" spans="1:11" ht="23.25" customHeight="1" x14ac:dyDescent="0.25">
      <c r="A61" s="15">
        <v>16</v>
      </c>
      <c r="B61" s="24">
        <v>38</v>
      </c>
      <c r="C61" s="25">
        <v>43212</v>
      </c>
      <c r="D61" s="25">
        <v>43235</v>
      </c>
      <c r="E61" s="15">
        <f t="shared" ref="E61:E66" si="2">D61-C61</f>
        <v>23</v>
      </c>
      <c r="F61" s="50" t="s">
        <v>87</v>
      </c>
      <c r="G61" s="3" t="s">
        <v>10</v>
      </c>
      <c r="H61" s="3" t="s">
        <v>10</v>
      </c>
      <c r="I61" s="2" t="s">
        <v>14</v>
      </c>
      <c r="J61" s="6" t="s">
        <v>22</v>
      </c>
      <c r="K61" s="7" t="s">
        <v>87</v>
      </c>
    </row>
    <row r="62" spans="1:11" ht="23.25" customHeight="1" x14ac:dyDescent="0.25">
      <c r="A62" s="15">
        <v>17</v>
      </c>
      <c r="B62" s="24">
        <v>39</v>
      </c>
      <c r="C62" s="25">
        <v>43211</v>
      </c>
      <c r="D62" s="25">
        <v>43212</v>
      </c>
      <c r="E62" s="15">
        <f t="shared" si="2"/>
        <v>1</v>
      </c>
      <c r="F62" s="50" t="s">
        <v>87</v>
      </c>
      <c r="G62" s="1" t="s">
        <v>87</v>
      </c>
      <c r="H62" s="9" t="s">
        <v>37</v>
      </c>
      <c r="I62" s="3" t="s">
        <v>38</v>
      </c>
      <c r="J62" s="1" t="s">
        <v>87</v>
      </c>
      <c r="K62" s="26" t="s">
        <v>39</v>
      </c>
    </row>
    <row r="63" spans="1:11" ht="34.5" customHeight="1" x14ac:dyDescent="0.25">
      <c r="A63" s="15">
        <v>21</v>
      </c>
      <c r="B63" s="24">
        <v>40</v>
      </c>
      <c r="C63" s="25">
        <v>43212</v>
      </c>
      <c r="D63" s="25">
        <v>43225</v>
      </c>
      <c r="E63" s="15">
        <f t="shared" si="2"/>
        <v>13</v>
      </c>
      <c r="F63" s="50" t="s">
        <v>87</v>
      </c>
      <c r="G63" s="1" t="s">
        <v>87</v>
      </c>
      <c r="H63" s="1" t="s">
        <v>87</v>
      </c>
      <c r="I63" s="1" t="s">
        <v>87</v>
      </c>
      <c r="J63" s="1" t="s">
        <v>87</v>
      </c>
      <c r="K63" s="10" t="s">
        <v>40</v>
      </c>
    </row>
    <row r="64" spans="1:11" ht="23.25" customHeight="1" x14ac:dyDescent="0.25">
      <c r="A64" s="15">
        <v>14</v>
      </c>
      <c r="B64" s="24">
        <v>41</v>
      </c>
      <c r="C64" s="25">
        <v>43215</v>
      </c>
      <c r="D64" s="25">
        <v>43221</v>
      </c>
      <c r="E64" s="15">
        <f t="shared" si="2"/>
        <v>6</v>
      </c>
      <c r="F64" s="50" t="s">
        <v>87</v>
      </c>
      <c r="G64" s="3" t="s">
        <v>10</v>
      </c>
      <c r="H64" s="3" t="s">
        <v>10</v>
      </c>
      <c r="I64" s="6" t="s">
        <v>41</v>
      </c>
      <c r="J64" s="1" t="s">
        <v>87</v>
      </c>
      <c r="K64" s="10" t="s">
        <v>18</v>
      </c>
    </row>
    <row r="65" spans="1:11" ht="34.5" customHeight="1" x14ac:dyDescent="0.25">
      <c r="A65" s="15">
        <v>17</v>
      </c>
      <c r="B65" s="24">
        <v>42</v>
      </c>
      <c r="C65" s="25">
        <v>43215</v>
      </c>
      <c r="D65" s="25">
        <v>43217</v>
      </c>
      <c r="E65" s="15">
        <f t="shared" si="2"/>
        <v>2</v>
      </c>
      <c r="F65" s="50" t="s">
        <v>87</v>
      </c>
      <c r="G65" s="1" t="s">
        <v>87</v>
      </c>
      <c r="H65" s="62" t="s">
        <v>90</v>
      </c>
      <c r="I65" s="63" t="s">
        <v>90</v>
      </c>
      <c r="J65" s="1" t="s">
        <v>87</v>
      </c>
      <c r="K65" s="26" t="s">
        <v>42</v>
      </c>
    </row>
    <row r="66" spans="1:11" ht="23.25" customHeight="1" x14ac:dyDescent="0.25">
      <c r="A66" s="15">
        <v>17</v>
      </c>
      <c r="B66" s="24">
        <v>42</v>
      </c>
      <c r="C66" s="25">
        <v>43215</v>
      </c>
      <c r="D66" s="25">
        <v>43225</v>
      </c>
      <c r="E66" s="15">
        <f t="shared" si="2"/>
        <v>10</v>
      </c>
      <c r="F66" s="50" t="s">
        <v>87</v>
      </c>
      <c r="G66" s="1" t="s">
        <v>87</v>
      </c>
      <c r="H66" s="9" t="s">
        <v>37</v>
      </c>
      <c r="I66" s="3" t="s">
        <v>38</v>
      </c>
      <c r="J66" s="1" t="s">
        <v>87</v>
      </c>
      <c r="K66" s="26" t="s">
        <v>39</v>
      </c>
    </row>
    <row r="67" spans="1:11" ht="23.25" customHeight="1" x14ac:dyDescent="0.25">
      <c r="A67" s="15">
        <v>16</v>
      </c>
      <c r="B67" s="24">
        <v>43</v>
      </c>
      <c r="C67" s="25"/>
      <c r="D67" s="25"/>
      <c r="E67" s="15"/>
      <c r="F67" s="76" t="s">
        <v>77</v>
      </c>
      <c r="G67" s="76" t="s">
        <v>77</v>
      </c>
      <c r="H67" s="76" t="s">
        <v>77</v>
      </c>
      <c r="I67" s="76" t="s">
        <v>77</v>
      </c>
      <c r="J67" s="76" t="s">
        <v>77</v>
      </c>
      <c r="K67" s="76" t="s">
        <v>77</v>
      </c>
    </row>
    <row r="68" spans="1:11" ht="23.25" customHeight="1" x14ac:dyDescent="0.25">
      <c r="A68" s="15">
        <v>16</v>
      </c>
      <c r="B68" s="24">
        <v>44</v>
      </c>
      <c r="C68" s="25">
        <v>43224</v>
      </c>
      <c r="D68" s="25">
        <v>43225</v>
      </c>
      <c r="E68" s="15">
        <f t="shared" ref="E68:E74" si="3">D68-C68</f>
        <v>1</v>
      </c>
      <c r="F68" s="57" t="s">
        <v>43</v>
      </c>
      <c r="G68" s="2" t="s">
        <v>44</v>
      </c>
      <c r="H68" s="2" t="s">
        <v>44</v>
      </c>
      <c r="I68" s="2" t="s">
        <v>45</v>
      </c>
      <c r="J68" s="2" t="s">
        <v>46</v>
      </c>
      <c r="K68" s="20" t="s">
        <v>47</v>
      </c>
    </row>
    <row r="69" spans="1:11" ht="15" customHeight="1" x14ac:dyDescent="0.25">
      <c r="A69" s="15">
        <v>17</v>
      </c>
      <c r="B69" s="24">
        <v>45</v>
      </c>
      <c r="C69" s="25">
        <v>43224</v>
      </c>
      <c r="D69" s="25">
        <v>43225</v>
      </c>
      <c r="E69" s="15">
        <f t="shared" si="3"/>
        <v>1</v>
      </c>
      <c r="F69" s="50" t="s">
        <v>87</v>
      </c>
      <c r="G69" s="1" t="s">
        <v>87</v>
      </c>
      <c r="H69" s="5" t="s">
        <v>21</v>
      </c>
      <c r="I69" s="1" t="s">
        <v>87</v>
      </c>
      <c r="J69" s="1" t="s">
        <v>87</v>
      </c>
      <c r="K69" s="7" t="s">
        <v>87</v>
      </c>
    </row>
    <row r="70" spans="1:11" ht="34.5" customHeight="1" x14ac:dyDescent="0.25">
      <c r="A70" s="15">
        <v>24</v>
      </c>
      <c r="B70" s="24">
        <v>46</v>
      </c>
      <c r="C70" s="25">
        <v>43231</v>
      </c>
      <c r="D70" s="25">
        <v>43241</v>
      </c>
      <c r="E70" s="15">
        <f t="shared" si="3"/>
        <v>10</v>
      </c>
      <c r="F70" s="50" t="s">
        <v>87</v>
      </c>
      <c r="G70" s="1" t="s">
        <v>87</v>
      </c>
      <c r="H70" s="5" t="s">
        <v>48</v>
      </c>
      <c r="I70" s="1" t="s">
        <v>87</v>
      </c>
      <c r="J70" s="1" t="s">
        <v>87</v>
      </c>
      <c r="K70" s="4" t="s">
        <v>49</v>
      </c>
    </row>
    <row r="71" spans="1:11" ht="57" customHeight="1" x14ac:dyDescent="0.25">
      <c r="A71" s="15">
        <v>14</v>
      </c>
      <c r="B71" s="24">
        <v>47</v>
      </c>
      <c r="C71" s="25">
        <v>43232</v>
      </c>
      <c r="D71" s="25">
        <v>43238</v>
      </c>
      <c r="E71" s="15">
        <f t="shared" si="3"/>
        <v>6</v>
      </c>
      <c r="F71" s="64" t="s">
        <v>50</v>
      </c>
      <c r="G71" s="3" t="s">
        <v>10</v>
      </c>
      <c r="H71" s="3" t="s">
        <v>10</v>
      </c>
      <c r="I71" s="27" t="s">
        <v>51</v>
      </c>
      <c r="J71" s="1" t="s">
        <v>87</v>
      </c>
      <c r="K71" s="28" t="s">
        <v>52</v>
      </c>
    </row>
    <row r="72" spans="1:11" ht="34.5" customHeight="1" x14ac:dyDescent="0.25">
      <c r="A72" s="15">
        <v>17</v>
      </c>
      <c r="B72" s="24">
        <v>48</v>
      </c>
      <c r="C72" s="25">
        <v>43246</v>
      </c>
      <c r="D72" s="25">
        <v>43261</v>
      </c>
      <c r="E72" s="15">
        <f t="shared" si="3"/>
        <v>15</v>
      </c>
      <c r="F72" s="50" t="s">
        <v>87</v>
      </c>
      <c r="G72" s="1" t="s">
        <v>87</v>
      </c>
      <c r="H72" s="27" t="s">
        <v>53</v>
      </c>
      <c r="I72" s="27" t="s">
        <v>53</v>
      </c>
      <c r="J72" s="1" t="s">
        <v>87</v>
      </c>
      <c r="K72" s="4" t="s">
        <v>11</v>
      </c>
    </row>
    <row r="73" spans="1:11" ht="57" customHeight="1" x14ac:dyDescent="0.25">
      <c r="A73" s="15">
        <v>14</v>
      </c>
      <c r="B73" s="24">
        <v>49</v>
      </c>
      <c r="C73" s="25">
        <v>43246</v>
      </c>
      <c r="D73" s="25">
        <v>43253</v>
      </c>
      <c r="E73" s="15">
        <f t="shared" si="3"/>
        <v>7</v>
      </c>
      <c r="F73" s="50" t="s">
        <v>87</v>
      </c>
      <c r="G73" s="3" t="s">
        <v>10</v>
      </c>
      <c r="H73" s="3" t="s">
        <v>10</v>
      </c>
      <c r="I73" s="5" t="s">
        <v>54</v>
      </c>
      <c r="J73" s="1" t="s">
        <v>87</v>
      </c>
      <c r="K73" s="28" t="s">
        <v>52</v>
      </c>
    </row>
    <row r="74" spans="1:11" ht="15" customHeight="1" x14ac:dyDescent="0.25">
      <c r="A74" s="15">
        <v>14</v>
      </c>
      <c r="B74" s="24">
        <v>49</v>
      </c>
      <c r="C74" s="25">
        <v>43246</v>
      </c>
      <c r="D74" s="25">
        <v>43390</v>
      </c>
      <c r="E74" s="15">
        <f t="shared" si="3"/>
        <v>144</v>
      </c>
      <c r="F74" s="57" t="s">
        <v>28</v>
      </c>
      <c r="G74" s="2" t="s">
        <v>28</v>
      </c>
      <c r="H74" s="2" t="s">
        <v>28</v>
      </c>
      <c r="I74" s="2" t="s">
        <v>28</v>
      </c>
      <c r="J74" s="2" t="s">
        <v>28</v>
      </c>
      <c r="K74" s="20" t="s">
        <v>28</v>
      </c>
    </row>
    <row r="75" spans="1:11" ht="34.5" customHeight="1" x14ac:dyDescent="0.25">
      <c r="A75" s="18">
        <v>19</v>
      </c>
      <c r="B75" s="24">
        <v>50</v>
      </c>
      <c r="C75" s="18"/>
      <c r="D75" s="25">
        <v>43259</v>
      </c>
      <c r="E75" s="18"/>
      <c r="F75" s="64" t="s">
        <v>55</v>
      </c>
      <c r="G75" s="3" t="s">
        <v>55</v>
      </c>
      <c r="H75" s="3" t="s">
        <v>55</v>
      </c>
      <c r="I75" s="5" t="s">
        <v>56</v>
      </c>
      <c r="J75" s="3" t="s">
        <v>57</v>
      </c>
      <c r="K75" s="4" t="s">
        <v>58</v>
      </c>
    </row>
    <row r="76" spans="1:11" ht="15" customHeight="1" x14ac:dyDescent="0.25">
      <c r="A76" s="15">
        <v>13</v>
      </c>
      <c r="B76" s="24">
        <v>51</v>
      </c>
      <c r="C76" s="25">
        <v>43249</v>
      </c>
      <c r="D76" s="25">
        <v>43256</v>
      </c>
      <c r="E76" s="15">
        <f>D76-C76</f>
        <v>7</v>
      </c>
      <c r="F76" s="50" t="s">
        <v>87</v>
      </c>
      <c r="G76" s="1" t="s">
        <v>87</v>
      </c>
      <c r="H76" s="1" t="s">
        <v>87</v>
      </c>
      <c r="I76" s="1" t="s">
        <v>87</v>
      </c>
      <c r="J76" s="1" t="s">
        <v>87</v>
      </c>
      <c r="K76" s="7" t="s">
        <v>87</v>
      </c>
    </row>
    <row r="77" spans="1:11" ht="15" customHeight="1" x14ac:dyDescent="0.25">
      <c r="A77" s="15">
        <v>24</v>
      </c>
      <c r="B77" s="24">
        <v>52</v>
      </c>
      <c r="C77" s="25">
        <v>43250</v>
      </c>
      <c r="D77" s="18" t="s">
        <v>13</v>
      </c>
      <c r="E77" s="18" t="s">
        <v>13</v>
      </c>
      <c r="F77" s="59" t="s">
        <v>13</v>
      </c>
      <c r="G77" s="60" t="s">
        <v>13</v>
      </c>
      <c r="H77" s="60" t="s">
        <v>13</v>
      </c>
      <c r="I77" s="60" t="s">
        <v>13</v>
      </c>
      <c r="J77" s="60" t="s">
        <v>13</v>
      </c>
      <c r="K77" s="61" t="s">
        <v>13</v>
      </c>
    </row>
    <row r="78" spans="1:11" ht="15" customHeight="1" x14ac:dyDescent="0.25">
      <c r="A78" s="15">
        <v>24</v>
      </c>
      <c r="B78" s="24">
        <v>53</v>
      </c>
      <c r="C78" s="25">
        <v>43257</v>
      </c>
      <c r="D78" s="18" t="s">
        <v>13</v>
      </c>
      <c r="E78" s="18" t="s">
        <v>13</v>
      </c>
      <c r="F78" s="59" t="s">
        <v>13</v>
      </c>
      <c r="G78" s="60" t="s">
        <v>13</v>
      </c>
      <c r="H78" s="60" t="s">
        <v>13</v>
      </c>
      <c r="I78" s="60" t="s">
        <v>13</v>
      </c>
      <c r="J78" s="60" t="s">
        <v>13</v>
      </c>
      <c r="K78" s="61" t="s">
        <v>13</v>
      </c>
    </row>
    <row r="79" spans="1:11" ht="15" customHeight="1" x14ac:dyDescent="0.25">
      <c r="A79" s="15">
        <v>13</v>
      </c>
      <c r="B79" s="24">
        <v>54</v>
      </c>
      <c r="C79" s="25">
        <v>43260</v>
      </c>
      <c r="D79" s="25">
        <v>43264</v>
      </c>
      <c r="E79" s="15">
        <f>D79-C79</f>
        <v>4</v>
      </c>
      <c r="F79" s="50" t="s">
        <v>87</v>
      </c>
      <c r="G79" s="1" t="s">
        <v>87</v>
      </c>
      <c r="H79" s="1" t="s">
        <v>87</v>
      </c>
      <c r="I79" s="1" t="s">
        <v>87</v>
      </c>
      <c r="J79" s="1" t="s">
        <v>87</v>
      </c>
      <c r="K79" s="7" t="s">
        <v>87</v>
      </c>
    </row>
    <row r="80" spans="1:11" ht="15" customHeight="1" x14ac:dyDescent="0.25">
      <c r="A80" s="15">
        <v>13</v>
      </c>
      <c r="B80" s="24">
        <v>55</v>
      </c>
      <c r="C80" s="25">
        <v>43271</v>
      </c>
      <c r="D80" s="25">
        <v>43273</v>
      </c>
      <c r="E80" s="15">
        <f>D80-C80</f>
        <v>2</v>
      </c>
      <c r="F80" s="50" t="s">
        <v>87</v>
      </c>
      <c r="G80" s="1" t="s">
        <v>87</v>
      </c>
      <c r="H80" s="1" t="s">
        <v>87</v>
      </c>
      <c r="I80" s="1" t="s">
        <v>87</v>
      </c>
      <c r="J80" s="1" t="s">
        <v>87</v>
      </c>
      <c r="K80" s="7" t="s">
        <v>87</v>
      </c>
    </row>
    <row r="81" spans="1:11" ht="15" customHeight="1" x14ac:dyDescent="0.25">
      <c r="A81" s="15">
        <v>21</v>
      </c>
      <c r="B81" s="24">
        <v>56</v>
      </c>
      <c r="C81" s="25">
        <v>43272</v>
      </c>
      <c r="D81" s="25" t="s">
        <v>13</v>
      </c>
      <c r="E81" s="18" t="s">
        <v>13</v>
      </c>
      <c r="F81" s="59" t="s">
        <v>13</v>
      </c>
      <c r="G81" s="60" t="s">
        <v>13</v>
      </c>
      <c r="H81" s="60" t="s">
        <v>13</v>
      </c>
      <c r="I81" s="60" t="s">
        <v>13</v>
      </c>
      <c r="J81" s="60" t="s">
        <v>13</v>
      </c>
      <c r="K81" s="61" t="s">
        <v>13</v>
      </c>
    </row>
    <row r="82" spans="1:11" ht="15" customHeight="1" x14ac:dyDescent="0.25">
      <c r="A82" s="15">
        <v>13</v>
      </c>
      <c r="B82" s="24">
        <v>57</v>
      </c>
      <c r="C82" s="25">
        <v>43279</v>
      </c>
      <c r="D82" s="25">
        <v>43290</v>
      </c>
      <c r="E82" s="15">
        <f t="shared" ref="E82:E92" si="4">D82-C82</f>
        <v>11</v>
      </c>
      <c r="F82" s="50" t="s">
        <v>87</v>
      </c>
      <c r="G82" s="1" t="s">
        <v>87</v>
      </c>
      <c r="H82" s="1" t="s">
        <v>87</v>
      </c>
      <c r="I82" s="1" t="s">
        <v>87</v>
      </c>
      <c r="J82" s="1" t="s">
        <v>87</v>
      </c>
      <c r="K82" s="7" t="s">
        <v>87</v>
      </c>
    </row>
    <row r="83" spans="1:11" ht="23.25" customHeight="1" x14ac:dyDescent="0.25">
      <c r="A83" s="15">
        <v>17</v>
      </c>
      <c r="B83" s="24">
        <v>58</v>
      </c>
      <c r="C83" s="25">
        <v>43281</v>
      </c>
      <c r="D83" s="25">
        <v>43282</v>
      </c>
      <c r="E83" s="15">
        <f t="shared" si="4"/>
        <v>1</v>
      </c>
      <c r="F83" s="50" t="s">
        <v>87</v>
      </c>
      <c r="G83" s="1" t="s">
        <v>87</v>
      </c>
      <c r="H83" s="5" t="s">
        <v>21</v>
      </c>
      <c r="I83" s="6" t="s">
        <v>41</v>
      </c>
      <c r="J83" s="1"/>
      <c r="K83" s="29" t="s">
        <v>39</v>
      </c>
    </row>
    <row r="84" spans="1:11" ht="23.25" customHeight="1" x14ac:dyDescent="0.25">
      <c r="A84" s="15">
        <v>17</v>
      </c>
      <c r="B84" s="24">
        <v>59</v>
      </c>
      <c r="C84" s="25">
        <v>43285</v>
      </c>
      <c r="D84" s="25">
        <v>43287</v>
      </c>
      <c r="E84" s="15">
        <f t="shared" si="4"/>
        <v>2</v>
      </c>
      <c r="F84" s="50" t="s">
        <v>87</v>
      </c>
      <c r="G84" s="1" t="s">
        <v>87</v>
      </c>
      <c r="H84" s="65" t="s">
        <v>59</v>
      </c>
      <c r="I84" s="1" t="s">
        <v>87</v>
      </c>
      <c r="J84" s="55" t="s">
        <v>60</v>
      </c>
      <c r="K84" s="30" t="s">
        <v>61</v>
      </c>
    </row>
    <row r="85" spans="1:11" ht="23.25" customHeight="1" x14ac:dyDescent="0.25">
      <c r="A85" s="15">
        <v>17</v>
      </c>
      <c r="B85" s="24">
        <v>59</v>
      </c>
      <c r="C85" s="25">
        <v>43285</v>
      </c>
      <c r="D85" s="25">
        <v>43294</v>
      </c>
      <c r="E85" s="15">
        <f t="shared" si="4"/>
        <v>9</v>
      </c>
      <c r="F85" s="50" t="s">
        <v>87</v>
      </c>
      <c r="G85" s="2" t="s">
        <v>12</v>
      </c>
      <c r="H85" s="2" t="s">
        <v>12</v>
      </c>
      <c r="I85" s="2" t="s">
        <v>12</v>
      </c>
      <c r="J85" s="2" t="s">
        <v>12</v>
      </c>
      <c r="K85" s="36" t="s">
        <v>61</v>
      </c>
    </row>
    <row r="86" spans="1:11" ht="23.25" customHeight="1" x14ac:dyDescent="0.25">
      <c r="A86" s="15">
        <v>17</v>
      </c>
      <c r="B86" s="24">
        <v>60</v>
      </c>
      <c r="C86" s="25">
        <v>43286</v>
      </c>
      <c r="D86" s="25">
        <v>43292</v>
      </c>
      <c r="E86" s="15">
        <f t="shared" si="4"/>
        <v>6</v>
      </c>
      <c r="F86" s="50" t="s">
        <v>87</v>
      </c>
      <c r="G86" s="1" t="s">
        <v>87</v>
      </c>
      <c r="H86" s="65" t="s">
        <v>59</v>
      </c>
      <c r="I86" s="1" t="s">
        <v>87</v>
      </c>
      <c r="J86" s="1" t="s">
        <v>87</v>
      </c>
      <c r="K86" s="36" t="s">
        <v>61</v>
      </c>
    </row>
    <row r="87" spans="1:11" ht="23.25" customHeight="1" x14ac:dyDescent="0.25">
      <c r="A87" s="15">
        <v>17</v>
      </c>
      <c r="B87" s="24">
        <v>60</v>
      </c>
      <c r="C87" s="25">
        <v>43286</v>
      </c>
      <c r="D87" s="25">
        <v>43301</v>
      </c>
      <c r="E87" s="15">
        <f t="shared" si="4"/>
        <v>15</v>
      </c>
      <c r="F87" s="50" t="s">
        <v>87</v>
      </c>
      <c r="G87" s="1" t="s">
        <v>87</v>
      </c>
      <c r="H87" s="65" t="s">
        <v>59</v>
      </c>
      <c r="I87" s="1" t="s">
        <v>87</v>
      </c>
      <c r="J87" s="1" t="s">
        <v>87</v>
      </c>
      <c r="K87" s="36" t="s">
        <v>61</v>
      </c>
    </row>
    <row r="88" spans="1:11" ht="23.25" customHeight="1" x14ac:dyDescent="0.25">
      <c r="A88" s="15">
        <v>21</v>
      </c>
      <c r="B88" s="24">
        <v>61</v>
      </c>
      <c r="C88" s="25">
        <v>43290</v>
      </c>
      <c r="D88" s="25">
        <v>43299</v>
      </c>
      <c r="E88" s="15">
        <f t="shared" si="4"/>
        <v>9</v>
      </c>
      <c r="F88" s="50" t="s">
        <v>87</v>
      </c>
      <c r="G88" s="1" t="s">
        <v>87</v>
      </c>
      <c r="H88" s="1" t="s">
        <v>87</v>
      </c>
      <c r="I88" s="1" t="s">
        <v>87</v>
      </c>
      <c r="J88" s="1" t="s">
        <v>87</v>
      </c>
      <c r="K88" s="4" t="s">
        <v>58</v>
      </c>
    </row>
    <row r="89" spans="1:11" ht="15" customHeight="1" x14ac:dyDescent="0.25">
      <c r="A89" s="15">
        <v>13</v>
      </c>
      <c r="B89" s="24">
        <v>62</v>
      </c>
      <c r="C89" s="25">
        <v>43294</v>
      </c>
      <c r="D89" s="25">
        <v>43298</v>
      </c>
      <c r="E89" s="15">
        <f t="shared" si="4"/>
        <v>4</v>
      </c>
      <c r="F89" s="50" t="s">
        <v>87</v>
      </c>
      <c r="G89" s="1" t="s">
        <v>87</v>
      </c>
      <c r="H89" s="1" t="s">
        <v>87</v>
      </c>
      <c r="I89" s="1" t="s">
        <v>87</v>
      </c>
      <c r="J89" s="1" t="s">
        <v>87</v>
      </c>
      <c r="K89" s="7" t="s">
        <v>87</v>
      </c>
    </row>
    <row r="90" spans="1:11" ht="15" customHeight="1" x14ac:dyDescent="0.25">
      <c r="A90" s="15">
        <v>13</v>
      </c>
      <c r="B90" s="24">
        <v>63</v>
      </c>
      <c r="C90" s="25">
        <v>43299</v>
      </c>
      <c r="D90" s="25">
        <v>43328</v>
      </c>
      <c r="E90" s="15">
        <f t="shared" si="4"/>
        <v>29</v>
      </c>
      <c r="F90" s="50" t="s">
        <v>87</v>
      </c>
      <c r="G90" s="1" t="s">
        <v>87</v>
      </c>
      <c r="H90" s="1" t="s">
        <v>87</v>
      </c>
      <c r="I90" s="1" t="s">
        <v>87</v>
      </c>
      <c r="J90" s="1" t="s">
        <v>87</v>
      </c>
      <c r="K90" s="7" t="s">
        <v>87</v>
      </c>
    </row>
    <row r="91" spans="1:11" ht="15" customHeight="1" x14ac:dyDescent="0.25">
      <c r="A91" s="15">
        <v>13</v>
      </c>
      <c r="B91" s="24">
        <v>64</v>
      </c>
      <c r="C91" s="25">
        <v>43306</v>
      </c>
      <c r="D91" s="25">
        <v>43324</v>
      </c>
      <c r="E91" s="15">
        <f t="shared" si="4"/>
        <v>18</v>
      </c>
      <c r="F91" s="50" t="s">
        <v>87</v>
      </c>
      <c r="G91" s="1" t="s">
        <v>87</v>
      </c>
      <c r="H91" s="1" t="s">
        <v>87</v>
      </c>
      <c r="I91" s="1" t="s">
        <v>87</v>
      </c>
      <c r="J91" s="1" t="s">
        <v>87</v>
      </c>
      <c r="K91" s="29" t="s">
        <v>62</v>
      </c>
    </row>
    <row r="92" spans="1:11" ht="23.25" customHeight="1" x14ac:dyDescent="0.25">
      <c r="A92" s="15">
        <v>21</v>
      </c>
      <c r="B92" s="24">
        <v>65</v>
      </c>
      <c r="C92" s="25">
        <v>43311</v>
      </c>
      <c r="D92" s="25">
        <v>43321</v>
      </c>
      <c r="E92" s="15">
        <f t="shared" si="4"/>
        <v>10</v>
      </c>
      <c r="F92" s="50" t="s">
        <v>87</v>
      </c>
      <c r="G92" s="1" t="s">
        <v>87</v>
      </c>
      <c r="H92" s="1" t="s">
        <v>87</v>
      </c>
      <c r="I92" s="1" t="s">
        <v>87</v>
      </c>
      <c r="J92" s="1" t="s">
        <v>87</v>
      </c>
      <c r="K92" s="4" t="s">
        <v>58</v>
      </c>
    </row>
    <row r="93" spans="1:11" ht="15" customHeight="1" x14ac:dyDescent="0.25">
      <c r="A93" s="15">
        <v>24</v>
      </c>
      <c r="B93" s="24">
        <v>66</v>
      </c>
      <c r="C93" s="25">
        <v>43329</v>
      </c>
      <c r="D93" s="18" t="s">
        <v>13</v>
      </c>
      <c r="E93" s="18" t="s">
        <v>13</v>
      </c>
      <c r="F93" s="59" t="s">
        <v>13</v>
      </c>
      <c r="G93" s="60" t="s">
        <v>13</v>
      </c>
      <c r="H93" s="60" t="s">
        <v>13</v>
      </c>
      <c r="I93" s="60" t="s">
        <v>13</v>
      </c>
      <c r="J93" s="60" t="s">
        <v>13</v>
      </c>
      <c r="K93" s="61" t="s">
        <v>13</v>
      </c>
    </row>
    <row r="94" spans="1:11" ht="34.5" customHeight="1" x14ac:dyDescent="0.25">
      <c r="A94" s="15">
        <v>21</v>
      </c>
      <c r="B94" s="24">
        <v>67</v>
      </c>
      <c r="C94" s="25">
        <v>43338</v>
      </c>
      <c r="D94" s="25">
        <v>43349</v>
      </c>
      <c r="E94" s="15">
        <f>D94-C94</f>
        <v>11</v>
      </c>
      <c r="F94" s="66" t="s">
        <v>87</v>
      </c>
      <c r="G94" s="32" t="s">
        <v>87</v>
      </c>
      <c r="H94" s="32" t="s">
        <v>87</v>
      </c>
      <c r="I94" s="32" t="s">
        <v>87</v>
      </c>
      <c r="J94" s="41" t="s">
        <v>63</v>
      </c>
      <c r="K94" s="37" t="s">
        <v>64</v>
      </c>
    </row>
    <row r="95" spans="1:11" ht="15" customHeight="1" x14ac:dyDescent="0.25">
      <c r="A95" s="15">
        <v>13</v>
      </c>
      <c r="B95" s="24">
        <v>68</v>
      </c>
      <c r="C95" s="25">
        <v>43352</v>
      </c>
      <c r="D95" s="25">
        <v>43368</v>
      </c>
      <c r="E95" s="15">
        <f>D95-C95</f>
        <v>16</v>
      </c>
      <c r="F95" s="67" t="s">
        <v>87</v>
      </c>
      <c r="G95" s="42" t="s">
        <v>87</v>
      </c>
      <c r="H95" s="42" t="s">
        <v>87</v>
      </c>
      <c r="I95" s="42" t="s">
        <v>87</v>
      </c>
      <c r="J95" s="42" t="s">
        <v>87</v>
      </c>
      <c r="K95" s="68" t="s">
        <v>87</v>
      </c>
    </row>
    <row r="96" spans="1:11" ht="15" customHeight="1" x14ac:dyDescent="0.25">
      <c r="A96" s="15">
        <v>16</v>
      </c>
      <c r="B96" s="24">
        <v>69</v>
      </c>
      <c r="C96" s="25">
        <v>43355</v>
      </c>
      <c r="D96" s="18" t="s">
        <v>13</v>
      </c>
      <c r="E96" s="18" t="s">
        <v>13</v>
      </c>
      <c r="F96" s="59" t="s">
        <v>13</v>
      </c>
      <c r="G96" s="60" t="s">
        <v>13</v>
      </c>
      <c r="H96" s="60" t="s">
        <v>13</v>
      </c>
      <c r="I96" s="60" t="s">
        <v>13</v>
      </c>
      <c r="J96" s="60" t="s">
        <v>13</v>
      </c>
      <c r="K96" s="61" t="s">
        <v>13</v>
      </c>
    </row>
    <row r="97" spans="1:11" ht="68.25" customHeight="1" x14ac:dyDescent="0.25">
      <c r="A97" s="15">
        <v>16</v>
      </c>
      <c r="B97" s="24">
        <v>70</v>
      </c>
      <c r="C97" s="25">
        <v>43362</v>
      </c>
      <c r="D97" s="25">
        <v>43369</v>
      </c>
      <c r="E97" s="15">
        <f t="shared" ref="E97:E103" si="5">D97-C97</f>
        <v>7</v>
      </c>
      <c r="F97" s="50" t="s">
        <v>87</v>
      </c>
      <c r="G97" s="1" t="s">
        <v>87</v>
      </c>
      <c r="H97" s="1" t="s">
        <v>87</v>
      </c>
      <c r="I97" s="69" t="s">
        <v>65</v>
      </c>
      <c r="J97" s="69" t="s">
        <v>66</v>
      </c>
      <c r="K97" s="31" t="s">
        <v>67</v>
      </c>
    </row>
    <row r="98" spans="1:11" ht="15" customHeight="1" x14ac:dyDescent="0.25">
      <c r="A98" s="15">
        <v>24</v>
      </c>
      <c r="B98" s="24">
        <v>71</v>
      </c>
      <c r="C98" s="25">
        <v>43369</v>
      </c>
      <c r="D98" s="25">
        <v>43377</v>
      </c>
      <c r="E98" s="15">
        <f t="shared" si="5"/>
        <v>8</v>
      </c>
      <c r="F98" s="57" t="s">
        <v>69</v>
      </c>
      <c r="G98" s="1" t="s">
        <v>87</v>
      </c>
      <c r="H98" s="2" t="s">
        <v>12</v>
      </c>
      <c r="I98" s="2" t="s">
        <v>12</v>
      </c>
      <c r="J98" s="2" t="s">
        <v>12</v>
      </c>
      <c r="K98" s="20" t="s">
        <v>12</v>
      </c>
    </row>
    <row r="99" spans="1:11" ht="15" customHeight="1" x14ac:dyDescent="0.25">
      <c r="A99" s="15">
        <v>24</v>
      </c>
      <c r="B99" s="24">
        <v>72</v>
      </c>
      <c r="C99" s="25">
        <v>43367</v>
      </c>
      <c r="D99" s="25">
        <v>43376</v>
      </c>
      <c r="E99" s="15">
        <f t="shared" si="5"/>
        <v>9</v>
      </c>
      <c r="F99" s="50" t="s">
        <v>87</v>
      </c>
      <c r="G99" s="1" t="s">
        <v>87</v>
      </c>
      <c r="H99" s="1" t="s">
        <v>87</v>
      </c>
      <c r="I99" s="1" t="s">
        <v>87</v>
      </c>
      <c r="J99" s="1" t="s">
        <v>87</v>
      </c>
      <c r="K99" s="7" t="s">
        <v>87</v>
      </c>
    </row>
    <row r="100" spans="1:11" ht="23.25" x14ac:dyDescent="0.25">
      <c r="A100" s="15">
        <v>24</v>
      </c>
      <c r="B100" s="24">
        <v>72</v>
      </c>
      <c r="C100" s="25">
        <v>43367</v>
      </c>
      <c r="D100" s="25">
        <v>43394</v>
      </c>
      <c r="E100" s="15">
        <f t="shared" si="5"/>
        <v>27</v>
      </c>
      <c r="F100" s="70" t="s">
        <v>113</v>
      </c>
      <c r="G100" s="2" t="s">
        <v>70</v>
      </c>
      <c r="H100" s="2" t="s">
        <v>70</v>
      </c>
      <c r="I100" s="2" t="s">
        <v>70</v>
      </c>
      <c r="J100" s="2" t="s">
        <v>70</v>
      </c>
      <c r="K100" s="20" t="s">
        <v>70</v>
      </c>
    </row>
    <row r="101" spans="1:11" ht="102" customHeight="1" x14ac:dyDescent="0.25">
      <c r="A101" s="15">
        <v>17</v>
      </c>
      <c r="B101" s="24">
        <v>73</v>
      </c>
      <c r="C101" s="25">
        <v>43375</v>
      </c>
      <c r="D101" s="25">
        <v>43394</v>
      </c>
      <c r="E101" s="15">
        <f t="shared" si="5"/>
        <v>19</v>
      </c>
      <c r="F101" s="50" t="s">
        <v>87</v>
      </c>
      <c r="G101" s="1" t="s">
        <v>87</v>
      </c>
      <c r="H101" s="33" t="s">
        <v>112</v>
      </c>
      <c r="I101" s="33" t="s">
        <v>112</v>
      </c>
      <c r="J101" s="1" t="s">
        <v>87</v>
      </c>
      <c r="K101" s="20" t="s">
        <v>71</v>
      </c>
    </row>
    <row r="102" spans="1:11" ht="15" customHeight="1" x14ac:dyDescent="0.25">
      <c r="A102" s="15">
        <v>17</v>
      </c>
      <c r="B102" s="24">
        <v>73</v>
      </c>
      <c r="C102" s="25">
        <v>43375</v>
      </c>
      <c r="D102" s="25">
        <v>43401</v>
      </c>
      <c r="E102" s="15">
        <f t="shared" si="5"/>
        <v>26</v>
      </c>
      <c r="F102" s="50" t="s">
        <v>87</v>
      </c>
      <c r="G102" s="1" t="s">
        <v>87</v>
      </c>
      <c r="H102" s="1" t="s">
        <v>87</v>
      </c>
      <c r="I102" s="1" t="s">
        <v>87</v>
      </c>
      <c r="J102" s="1" t="s">
        <v>87</v>
      </c>
      <c r="K102" s="7" t="s">
        <v>87</v>
      </c>
    </row>
    <row r="103" spans="1:11" ht="15" customHeight="1" x14ac:dyDescent="0.25">
      <c r="A103" s="15">
        <v>21</v>
      </c>
      <c r="B103" s="24">
        <v>74</v>
      </c>
      <c r="C103" s="25">
        <v>43390</v>
      </c>
      <c r="D103" s="25">
        <v>43403</v>
      </c>
      <c r="E103" s="15">
        <f t="shared" si="5"/>
        <v>13</v>
      </c>
      <c r="F103" s="71" t="s">
        <v>87</v>
      </c>
      <c r="G103" s="72" t="s">
        <v>87</v>
      </c>
      <c r="H103" s="72" t="s">
        <v>87</v>
      </c>
      <c r="I103" s="72" t="s">
        <v>87</v>
      </c>
      <c r="J103" s="72" t="s">
        <v>87</v>
      </c>
      <c r="K103" s="73" t="s">
        <v>115</v>
      </c>
    </row>
    <row r="104" spans="1:11" ht="15" customHeight="1" x14ac:dyDescent="0.25">
      <c r="A104" s="15">
        <v>24</v>
      </c>
      <c r="B104" s="24">
        <v>75</v>
      </c>
      <c r="C104" s="25">
        <v>43393</v>
      </c>
      <c r="D104" s="18" t="s">
        <v>13</v>
      </c>
      <c r="E104" s="18" t="s">
        <v>13</v>
      </c>
      <c r="F104" s="59" t="s">
        <v>13</v>
      </c>
      <c r="G104" s="60" t="s">
        <v>13</v>
      </c>
      <c r="H104" s="60" t="s">
        <v>13</v>
      </c>
      <c r="I104" s="60" t="s">
        <v>13</v>
      </c>
      <c r="J104" s="60" t="s">
        <v>13</v>
      </c>
      <c r="K104" s="61" t="s">
        <v>13</v>
      </c>
    </row>
    <row r="105" spans="1:11" ht="34.5" customHeight="1" x14ac:dyDescent="0.25">
      <c r="A105" s="15">
        <v>21</v>
      </c>
      <c r="B105" s="24">
        <v>76</v>
      </c>
      <c r="C105" s="25">
        <v>43398</v>
      </c>
      <c r="D105" s="25">
        <v>43410</v>
      </c>
      <c r="E105">
        <f>ROUNDDOWN((D105-C105),0)</f>
        <v>12</v>
      </c>
      <c r="F105" s="50" t="s">
        <v>110</v>
      </c>
      <c r="G105" s="3" t="s">
        <v>68</v>
      </c>
      <c r="H105" s="3" t="s">
        <v>68</v>
      </c>
      <c r="I105" s="1" t="s">
        <v>87</v>
      </c>
      <c r="J105" s="1" t="s">
        <v>87</v>
      </c>
      <c r="K105" s="7" t="s">
        <v>87</v>
      </c>
    </row>
    <row r="106" spans="1:11" ht="15" customHeight="1" x14ac:dyDescent="0.25">
      <c r="A106" s="15">
        <v>26</v>
      </c>
      <c r="B106" s="24">
        <v>77</v>
      </c>
      <c r="C106" s="48">
        <v>43400</v>
      </c>
      <c r="D106" s="25">
        <v>43418</v>
      </c>
      <c r="F106" s="50" t="s">
        <v>87</v>
      </c>
      <c r="G106" s="1" t="s">
        <v>87</v>
      </c>
      <c r="H106" s="1" t="s">
        <v>87</v>
      </c>
      <c r="I106" s="1" t="s">
        <v>87</v>
      </c>
      <c r="J106" s="1" t="s">
        <v>87</v>
      </c>
      <c r="K106" s="7" t="s">
        <v>87</v>
      </c>
    </row>
    <row r="107" spans="1:11" ht="15" customHeight="1" x14ac:dyDescent="0.25">
      <c r="A107" s="15">
        <v>21</v>
      </c>
      <c r="B107" s="24">
        <v>78</v>
      </c>
      <c r="C107" s="25">
        <v>43412</v>
      </c>
      <c r="D107" s="18" t="s">
        <v>13</v>
      </c>
      <c r="F107" s="59" t="s">
        <v>13</v>
      </c>
      <c r="G107" s="60" t="s">
        <v>13</v>
      </c>
      <c r="H107" s="60" t="s">
        <v>13</v>
      </c>
      <c r="I107" s="60" t="s">
        <v>13</v>
      </c>
      <c r="J107" s="60" t="s">
        <v>13</v>
      </c>
      <c r="K107" s="61" t="s">
        <v>13</v>
      </c>
    </row>
    <row r="108" spans="1:11" ht="23.25" customHeight="1" x14ac:dyDescent="0.25">
      <c r="A108" s="15">
        <v>16</v>
      </c>
      <c r="B108" s="24">
        <v>79</v>
      </c>
      <c r="C108" s="25">
        <v>43413</v>
      </c>
      <c r="D108" s="25">
        <v>43431</v>
      </c>
      <c r="E108">
        <f>ROUNDDOWN((D108-C108),0)</f>
        <v>18</v>
      </c>
      <c r="F108" s="50" t="s">
        <v>87</v>
      </c>
      <c r="G108" s="32"/>
      <c r="H108" s="33" t="s">
        <v>72</v>
      </c>
      <c r="I108" s="65" t="s">
        <v>95</v>
      </c>
      <c r="J108" s="65" t="s">
        <v>88</v>
      </c>
      <c r="K108" s="7" t="s">
        <v>87</v>
      </c>
    </row>
    <row r="109" spans="1:11" ht="15" customHeight="1" x14ac:dyDescent="0.25">
      <c r="A109" s="15">
        <v>26</v>
      </c>
      <c r="B109" s="24">
        <v>80</v>
      </c>
      <c r="C109" s="13">
        <v>43415</v>
      </c>
      <c r="D109" s="13">
        <v>43429</v>
      </c>
      <c r="E109">
        <f>ROUNDDOWN((D109-C109),0)</f>
        <v>14</v>
      </c>
      <c r="F109" s="50" t="s">
        <v>87</v>
      </c>
      <c r="G109" s="1" t="s">
        <v>87</v>
      </c>
      <c r="H109" s="1" t="s">
        <v>87</v>
      </c>
      <c r="I109" s="1" t="s">
        <v>87</v>
      </c>
      <c r="J109" s="1" t="s">
        <v>87</v>
      </c>
      <c r="K109" s="7" t="s">
        <v>87</v>
      </c>
    </row>
    <row r="110" spans="1:11" ht="15" customHeight="1" x14ac:dyDescent="0.25">
      <c r="A110" s="15">
        <v>26</v>
      </c>
      <c r="B110" s="24">
        <v>81</v>
      </c>
      <c r="C110" s="13">
        <v>43424</v>
      </c>
      <c r="D110" s="14" t="s">
        <v>13</v>
      </c>
      <c r="F110" s="59" t="s">
        <v>13</v>
      </c>
      <c r="G110" s="60" t="s">
        <v>13</v>
      </c>
      <c r="H110" s="60" t="s">
        <v>13</v>
      </c>
      <c r="I110" s="60" t="s">
        <v>13</v>
      </c>
      <c r="J110" s="60" t="s">
        <v>13</v>
      </c>
      <c r="K110" s="61" t="s">
        <v>13</v>
      </c>
    </row>
    <row r="111" spans="1:11" ht="23.25" customHeight="1" x14ac:dyDescent="0.25">
      <c r="A111" s="15">
        <v>17</v>
      </c>
      <c r="B111" s="24">
        <v>82</v>
      </c>
      <c r="C111" s="13">
        <v>43426</v>
      </c>
      <c r="D111" s="13">
        <v>43430</v>
      </c>
      <c r="E111">
        <f>ROUNDDOWN((D111-C111),0)</f>
        <v>4</v>
      </c>
      <c r="F111" s="66" t="s">
        <v>87</v>
      </c>
      <c r="G111" s="32" t="s">
        <v>87</v>
      </c>
      <c r="H111" s="34" t="s">
        <v>73</v>
      </c>
      <c r="I111" s="1" t="s">
        <v>87</v>
      </c>
      <c r="J111" s="1" t="s">
        <v>87</v>
      </c>
      <c r="K111" s="35" t="s">
        <v>74</v>
      </c>
    </row>
    <row r="112" spans="1:11" ht="28.5" customHeight="1" x14ac:dyDescent="0.25">
      <c r="A112" s="15">
        <v>21</v>
      </c>
      <c r="B112" s="24">
        <v>83</v>
      </c>
      <c r="C112" s="13">
        <v>43433</v>
      </c>
      <c r="D112" s="13">
        <v>43434</v>
      </c>
      <c r="E112">
        <f>ROUNDDOWN((D112-C112),0)</f>
        <v>1</v>
      </c>
      <c r="F112" s="50" t="s">
        <v>87</v>
      </c>
      <c r="G112" s="1" t="s">
        <v>87</v>
      </c>
      <c r="H112" s="1" t="s">
        <v>87</v>
      </c>
      <c r="I112" s="1" t="s">
        <v>87</v>
      </c>
      <c r="J112" s="1" t="s">
        <v>87</v>
      </c>
      <c r="K112" s="73" t="s">
        <v>115</v>
      </c>
    </row>
    <row r="113" spans="1:13" ht="15" customHeight="1" x14ac:dyDescent="0.25">
      <c r="A113" s="15">
        <v>26</v>
      </c>
      <c r="B113" s="24">
        <v>84</v>
      </c>
      <c r="C113" s="13">
        <v>43439</v>
      </c>
      <c r="D113" s="13">
        <v>43449</v>
      </c>
      <c r="E113">
        <f>ROUNDDOWN((D113-C113),0)</f>
        <v>10</v>
      </c>
      <c r="F113" s="50" t="s">
        <v>87</v>
      </c>
      <c r="G113" s="1" t="s">
        <v>87</v>
      </c>
      <c r="H113" s="1" t="s">
        <v>87</v>
      </c>
      <c r="I113" s="1" t="s">
        <v>87</v>
      </c>
      <c r="J113" s="55" t="s">
        <v>76</v>
      </c>
      <c r="K113" s="56" t="s">
        <v>75</v>
      </c>
    </row>
    <row r="114" spans="1:13" ht="15" customHeight="1" x14ac:dyDescent="0.25">
      <c r="A114" s="15">
        <v>13</v>
      </c>
      <c r="B114" s="24">
        <v>85</v>
      </c>
      <c r="C114" s="13">
        <v>43443</v>
      </c>
      <c r="D114" s="13">
        <v>43452</v>
      </c>
      <c r="E114">
        <f>ROUNDDOWN((D114-C114),0)</f>
        <v>9</v>
      </c>
      <c r="F114" s="71" t="s">
        <v>87</v>
      </c>
      <c r="G114" s="55" t="s">
        <v>92</v>
      </c>
      <c r="H114" s="55" t="s">
        <v>93</v>
      </c>
      <c r="I114" s="55" t="s">
        <v>91</v>
      </c>
      <c r="J114" s="55" t="s">
        <v>94</v>
      </c>
      <c r="K114" s="74" t="s">
        <v>87</v>
      </c>
    </row>
    <row r="115" spans="1:13" ht="15" customHeight="1" x14ac:dyDescent="0.25">
      <c r="A115" s="15">
        <v>22</v>
      </c>
      <c r="B115" s="24">
        <v>86</v>
      </c>
      <c r="C115" s="13">
        <v>43349</v>
      </c>
      <c r="D115" s="14" t="s">
        <v>13</v>
      </c>
      <c r="E115" s="14" t="s">
        <v>13</v>
      </c>
      <c r="F115" s="75" t="s">
        <v>13</v>
      </c>
      <c r="G115" s="75" t="s">
        <v>13</v>
      </c>
      <c r="H115" s="75" t="s">
        <v>13</v>
      </c>
      <c r="I115" s="75" t="s">
        <v>13</v>
      </c>
      <c r="J115" s="75" t="s">
        <v>13</v>
      </c>
      <c r="K115" s="75" t="s">
        <v>13</v>
      </c>
    </row>
    <row r="116" spans="1:13" ht="15" customHeight="1" x14ac:dyDescent="0.25">
      <c r="A116" s="15">
        <v>22</v>
      </c>
      <c r="B116" s="24">
        <v>87</v>
      </c>
      <c r="C116" s="13">
        <v>43353</v>
      </c>
      <c r="D116" s="14" t="s">
        <v>13</v>
      </c>
      <c r="E116" s="14" t="s">
        <v>13</v>
      </c>
      <c r="F116" s="75" t="s">
        <v>13</v>
      </c>
      <c r="G116" s="75" t="s">
        <v>13</v>
      </c>
      <c r="H116" s="75" t="s">
        <v>13</v>
      </c>
      <c r="I116" s="75" t="s">
        <v>13</v>
      </c>
      <c r="J116" s="75" t="s">
        <v>13</v>
      </c>
      <c r="K116" s="75" t="s">
        <v>13</v>
      </c>
    </row>
    <row r="117" spans="1:13" ht="15" customHeight="1" x14ac:dyDescent="0.25">
      <c r="A117" s="15">
        <v>16</v>
      </c>
      <c r="B117" s="24">
        <v>88</v>
      </c>
      <c r="C117" s="13">
        <v>43450</v>
      </c>
      <c r="D117" s="13">
        <v>43460</v>
      </c>
      <c r="E117">
        <f t="shared" ref="E117:E122" si="6">ROUNDDOWN((D117-C117),0)</f>
        <v>10</v>
      </c>
      <c r="F117" s="1" t="s">
        <v>87</v>
      </c>
      <c r="G117" s="1" t="s">
        <v>202</v>
      </c>
      <c r="H117" s="1" t="s">
        <v>87</v>
      </c>
      <c r="I117" s="79" t="s">
        <v>203</v>
      </c>
      <c r="J117" s="76" t="s">
        <v>77</v>
      </c>
      <c r="K117" s="76" t="s">
        <v>77</v>
      </c>
    </row>
    <row r="118" spans="1:13" ht="23.25" customHeight="1" x14ac:dyDescent="0.25">
      <c r="A118" s="15">
        <v>17</v>
      </c>
      <c r="B118" s="24">
        <v>89</v>
      </c>
      <c r="C118" s="13">
        <v>43450</v>
      </c>
      <c r="D118" s="13">
        <v>43454</v>
      </c>
      <c r="E118">
        <f t="shared" si="6"/>
        <v>4</v>
      </c>
      <c r="F118" s="1" t="s">
        <v>87</v>
      </c>
      <c r="G118" s="1" t="s">
        <v>87</v>
      </c>
      <c r="H118" s="77" t="s">
        <v>95</v>
      </c>
      <c r="I118" s="1" t="s">
        <v>87</v>
      </c>
      <c r="J118" s="1" t="s">
        <v>87</v>
      </c>
      <c r="K118" s="77" t="s">
        <v>61</v>
      </c>
    </row>
    <row r="119" spans="1:13" ht="23.25" customHeight="1" x14ac:dyDescent="0.25">
      <c r="A119" s="15">
        <v>17</v>
      </c>
      <c r="B119" s="24">
        <v>89</v>
      </c>
      <c r="C119" s="13">
        <v>43450</v>
      </c>
      <c r="D119" s="13">
        <v>43464</v>
      </c>
      <c r="E119">
        <f t="shared" si="6"/>
        <v>14</v>
      </c>
      <c r="F119" s="1" t="s">
        <v>87</v>
      </c>
      <c r="G119" s="1" t="s">
        <v>87</v>
      </c>
      <c r="H119" s="77" t="s">
        <v>95</v>
      </c>
      <c r="I119" s="1" t="s">
        <v>87</v>
      </c>
      <c r="J119" s="1" t="s">
        <v>87</v>
      </c>
      <c r="K119" s="77" t="s">
        <v>61</v>
      </c>
    </row>
    <row r="120" spans="1:13" ht="15" customHeight="1" x14ac:dyDescent="0.25">
      <c r="A120" s="15">
        <v>24</v>
      </c>
      <c r="B120" s="24">
        <v>90</v>
      </c>
      <c r="C120" s="13">
        <v>43451</v>
      </c>
      <c r="D120" s="13">
        <v>43470</v>
      </c>
      <c r="E120">
        <f t="shared" si="6"/>
        <v>19</v>
      </c>
      <c r="F120" s="76" t="s">
        <v>77</v>
      </c>
      <c r="G120" s="76" t="s">
        <v>77</v>
      </c>
      <c r="H120" s="76" t="s">
        <v>77</v>
      </c>
      <c r="I120" s="76" t="s">
        <v>77</v>
      </c>
      <c r="J120" s="76" t="s">
        <v>77</v>
      </c>
      <c r="K120" s="76" t="s">
        <v>77</v>
      </c>
    </row>
    <row r="121" spans="1:13" ht="15" customHeight="1" x14ac:dyDescent="0.25">
      <c r="A121" s="14">
        <v>16</v>
      </c>
      <c r="B121" s="24">
        <v>91</v>
      </c>
      <c r="C121" s="13">
        <v>43470</v>
      </c>
      <c r="D121" s="13">
        <v>43485</v>
      </c>
      <c r="E121">
        <f t="shared" si="6"/>
        <v>15</v>
      </c>
      <c r="F121" s="76" t="s">
        <v>77</v>
      </c>
      <c r="G121" s="76" t="s">
        <v>77</v>
      </c>
      <c r="H121" s="76" t="s">
        <v>77</v>
      </c>
      <c r="I121" s="76" t="s">
        <v>77</v>
      </c>
      <c r="J121" s="76" t="s">
        <v>77</v>
      </c>
      <c r="K121" s="76" t="s">
        <v>77</v>
      </c>
    </row>
    <row r="122" spans="1:13" ht="15" customHeight="1" x14ac:dyDescent="0.25">
      <c r="A122" s="14">
        <v>26</v>
      </c>
      <c r="B122" s="24">
        <v>92</v>
      </c>
      <c r="C122" s="48">
        <v>43479</v>
      </c>
      <c r="D122" s="13">
        <v>43489</v>
      </c>
      <c r="E122">
        <f t="shared" si="6"/>
        <v>10</v>
      </c>
      <c r="F122" s="1" t="s">
        <v>87</v>
      </c>
      <c r="G122" s="1" t="s">
        <v>87</v>
      </c>
      <c r="H122" s="1" t="s">
        <v>87</v>
      </c>
      <c r="I122" s="1" t="s">
        <v>87</v>
      </c>
      <c r="J122" s="1" t="s">
        <v>87</v>
      </c>
      <c r="K122" s="1" t="s">
        <v>87</v>
      </c>
    </row>
    <row r="123" spans="1:13" ht="15" customHeight="1" x14ac:dyDescent="0.25">
      <c r="A123" s="15">
        <v>16</v>
      </c>
      <c r="B123" s="24">
        <v>93</v>
      </c>
      <c r="C123" s="13">
        <v>43478</v>
      </c>
      <c r="D123" s="14" t="s">
        <v>13</v>
      </c>
      <c r="E123" s="14" t="s">
        <v>13</v>
      </c>
      <c r="F123" s="75" t="s">
        <v>13</v>
      </c>
      <c r="G123" s="75" t="s">
        <v>13</v>
      </c>
      <c r="H123" s="75" t="s">
        <v>13</v>
      </c>
      <c r="I123" s="75" t="s">
        <v>13</v>
      </c>
      <c r="J123" s="75" t="s">
        <v>13</v>
      </c>
      <c r="K123" s="75" t="s">
        <v>13</v>
      </c>
    </row>
    <row r="124" spans="1:13" ht="23.25" customHeight="1" x14ac:dyDescent="0.25">
      <c r="A124" s="15">
        <v>16</v>
      </c>
      <c r="B124" s="24">
        <v>94</v>
      </c>
      <c r="C124" s="13">
        <v>43480</v>
      </c>
      <c r="D124" s="13">
        <v>43490</v>
      </c>
      <c r="E124">
        <f>ROUNDDOWN((D124-C124),0)</f>
        <v>10</v>
      </c>
      <c r="F124" s="1" t="s">
        <v>87</v>
      </c>
      <c r="G124" s="1" t="s">
        <v>87</v>
      </c>
      <c r="H124" s="33" t="s">
        <v>72</v>
      </c>
      <c r="I124" s="5" t="s">
        <v>111</v>
      </c>
      <c r="J124" s="77" t="s">
        <v>88</v>
      </c>
      <c r="K124" s="1" t="s">
        <v>87</v>
      </c>
    </row>
    <row r="125" spans="1:13" ht="23.25" customHeight="1" x14ac:dyDescent="0.25">
      <c r="A125" s="15">
        <v>16</v>
      </c>
      <c r="B125" s="24">
        <v>94</v>
      </c>
      <c r="C125" s="13">
        <v>43480</v>
      </c>
      <c r="D125" s="13">
        <v>43494</v>
      </c>
      <c r="E125">
        <f>ROUNDDOWN((D125-C125),0)</f>
        <v>14</v>
      </c>
      <c r="F125" s="1" t="s">
        <v>87</v>
      </c>
      <c r="G125" s="1" t="s">
        <v>87</v>
      </c>
      <c r="H125" s="33" t="s">
        <v>72</v>
      </c>
      <c r="I125" s="5" t="s">
        <v>111</v>
      </c>
      <c r="J125" s="77" t="s">
        <v>88</v>
      </c>
      <c r="K125" s="1" t="s">
        <v>87</v>
      </c>
    </row>
    <row r="126" spans="1:13" ht="40.5" customHeight="1" x14ac:dyDescent="0.25">
      <c r="A126" s="15">
        <v>26</v>
      </c>
      <c r="B126" s="24">
        <v>95</v>
      </c>
      <c r="C126" s="13">
        <v>43485</v>
      </c>
      <c r="D126" s="13">
        <v>43516</v>
      </c>
      <c r="E126">
        <f>ROUNDDOWN((D126-C126),0)</f>
        <v>31</v>
      </c>
      <c r="F126" s="42" t="s">
        <v>87</v>
      </c>
      <c r="G126" s="42" t="s">
        <v>87</v>
      </c>
      <c r="H126" s="42" t="s">
        <v>87</v>
      </c>
      <c r="I126" s="42" t="s">
        <v>87</v>
      </c>
      <c r="J126" s="79" t="s">
        <v>128</v>
      </c>
      <c r="K126" s="79" t="s">
        <v>129</v>
      </c>
      <c r="L126" s="81" t="s">
        <v>127</v>
      </c>
      <c r="M126" s="82">
        <v>43617</v>
      </c>
    </row>
    <row r="127" spans="1:13" ht="45.75" customHeight="1" x14ac:dyDescent="0.25">
      <c r="A127" s="15">
        <v>11</v>
      </c>
      <c r="B127" s="24">
        <v>96</v>
      </c>
      <c r="C127" s="13">
        <v>43490</v>
      </c>
      <c r="D127" s="13">
        <v>43501</v>
      </c>
      <c r="E127">
        <f>ROUNDDOWN((D127-C127),0)</f>
        <v>11</v>
      </c>
      <c r="F127" s="42" t="s">
        <v>87</v>
      </c>
      <c r="G127" s="77" t="s">
        <v>95</v>
      </c>
      <c r="H127" s="77" t="s">
        <v>95</v>
      </c>
      <c r="I127" s="42" t="s">
        <v>87</v>
      </c>
      <c r="J127" s="78" t="s">
        <v>96</v>
      </c>
      <c r="K127" s="78" t="s">
        <v>97</v>
      </c>
    </row>
    <row r="128" spans="1:13" ht="15" customHeight="1" x14ac:dyDescent="0.25">
      <c r="A128" s="15">
        <v>21</v>
      </c>
      <c r="B128" s="24">
        <v>97</v>
      </c>
      <c r="C128" s="48">
        <v>43493</v>
      </c>
      <c r="D128" s="13" t="s">
        <v>105</v>
      </c>
      <c r="E128" s="13" t="s">
        <v>105</v>
      </c>
      <c r="F128" s="42" t="s">
        <v>87</v>
      </c>
      <c r="G128" s="42" t="s">
        <v>87</v>
      </c>
      <c r="H128" s="42" t="s">
        <v>87</v>
      </c>
      <c r="I128" s="42" t="s">
        <v>87</v>
      </c>
      <c r="J128" s="42" t="s">
        <v>87</v>
      </c>
      <c r="K128" s="42" t="s">
        <v>87</v>
      </c>
    </row>
    <row r="129" spans="1:13" ht="15" customHeight="1" x14ac:dyDescent="0.25">
      <c r="A129" s="15">
        <v>26</v>
      </c>
      <c r="B129" s="24">
        <v>98</v>
      </c>
      <c r="C129" s="13" t="s">
        <v>105</v>
      </c>
      <c r="D129" s="13" t="s">
        <v>13</v>
      </c>
      <c r="E129" s="13" t="s">
        <v>13</v>
      </c>
      <c r="F129" s="75" t="s">
        <v>13</v>
      </c>
      <c r="G129" s="75" t="s">
        <v>13</v>
      </c>
      <c r="H129" s="75" t="s">
        <v>13</v>
      </c>
      <c r="I129" s="75" t="s">
        <v>13</v>
      </c>
      <c r="J129" s="75" t="s">
        <v>13</v>
      </c>
      <c r="K129" s="75" t="s">
        <v>13</v>
      </c>
    </row>
    <row r="130" spans="1:13" ht="23.25" customHeight="1" x14ac:dyDescent="0.25">
      <c r="A130" s="15">
        <v>16</v>
      </c>
      <c r="B130" s="24">
        <v>99</v>
      </c>
      <c r="C130" s="13">
        <v>43505</v>
      </c>
      <c r="D130" s="13">
        <v>43517</v>
      </c>
      <c r="E130">
        <f>ROUNDDOWN((D130-C130),0)</f>
        <v>12</v>
      </c>
      <c r="F130" s="42" t="s">
        <v>87</v>
      </c>
      <c r="G130" s="42" t="s">
        <v>87</v>
      </c>
      <c r="H130" s="42" t="s">
        <v>87</v>
      </c>
      <c r="I130" s="79" t="s">
        <v>114</v>
      </c>
      <c r="J130" s="77" t="s">
        <v>88</v>
      </c>
      <c r="K130" s="42" t="s">
        <v>87</v>
      </c>
    </row>
    <row r="131" spans="1:13" ht="38.25" customHeight="1" x14ac:dyDescent="0.25">
      <c r="A131" s="15">
        <v>26</v>
      </c>
      <c r="B131" s="24">
        <v>100</v>
      </c>
      <c r="C131" s="13">
        <v>43513</v>
      </c>
      <c r="D131" s="13">
        <v>43530</v>
      </c>
      <c r="E131">
        <f>ROUNDDOWN((D131-C131),0)</f>
        <v>17</v>
      </c>
      <c r="F131" s="42" t="s">
        <v>87</v>
      </c>
      <c r="G131" s="42" t="s">
        <v>87</v>
      </c>
      <c r="H131" s="42" t="s">
        <v>87</v>
      </c>
      <c r="I131" s="42" t="s">
        <v>87</v>
      </c>
      <c r="J131" s="79" t="s">
        <v>125</v>
      </c>
      <c r="K131" s="79" t="s">
        <v>126</v>
      </c>
      <c r="M131" s="82">
        <v>43617</v>
      </c>
    </row>
    <row r="132" spans="1:13" ht="38.25" customHeight="1" x14ac:dyDescent="0.25">
      <c r="A132" s="15">
        <v>13</v>
      </c>
      <c r="B132" s="24">
        <v>101</v>
      </c>
      <c r="C132" s="48">
        <v>43532</v>
      </c>
      <c r="D132" s="13">
        <v>43533</v>
      </c>
      <c r="E132">
        <f>ROUNDDOWN((D132-C132),0)</f>
        <v>1</v>
      </c>
      <c r="F132" s="79" t="s">
        <v>153</v>
      </c>
      <c r="G132" s="42" t="s">
        <v>154</v>
      </c>
      <c r="H132" s="42" t="s">
        <v>154</v>
      </c>
      <c r="I132" s="42" t="s">
        <v>155</v>
      </c>
      <c r="J132" s="79" t="s">
        <v>156</v>
      </c>
      <c r="K132" s="79" t="s">
        <v>131</v>
      </c>
      <c r="M132" s="82"/>
    </row>
    <row r="133" spans="1:13" ht="15" customHeight="1" thickBot="1" x14ac:dyDescent="0.3">
      <c r="A133" s="15">
        <v>13</v>
      </c>
      <c r="B133" s="24">
        <v>101</v>
      </c>
      <c r="C133" s="48">
        <v>43532</v>
      </c>
      <c r="D133" s="13">
        <v>43537</v>
      </c>
      <c r="E133">
        <f>ROUNDDOWN((D133-C133),0)</f>
        <v>5</v>
      </c>
      <c r="F133" s="76" t="s">
        <v>77</v>
      </c>
      <c r="G133" s="76" t="s">
        <v>77</v>
      </c>
      <c r="H133" s="76" t="s">
        <v>77</v>
      </c>
      <c r="I133" s="76" t="s">
        <v>77</v>
      </c>
      <c r="J133" s="76" t="s">
        <v>77</v>
      </c>
      <c r="K133" s="76" t="s">
        <v>77</v>
      </c>
    </row>
    <row r="134" spans="1:13" ht="15.75" customHeight="1" thickBot="1" x14ac:dyDescent="0.3">
      <c r="A134" s="15">
        <v>13</v>
      </c>
      <c r="B134" s="24">
        <v>102</v>
      </c>
      <c r="C134" s="49">
        <v>43560</v>
      </c>
      <c r="D134" s="13" t="s">
        <v>13</v>
      </c>
      <c r="E134" s="13" t="s">
        <v>13</v>
      </c>
      <c r="F134" s="75" t="s">
        <v>13</v>
      </c>
      <c r="G134" s="75" t="s">
        <v>13</v>
      </c>
      <c r="H134" s="75" t="s">
        <v>13</v>
      </c>
      <c r="I134" s="75" t="s">
        <v>13</v>
      </c>
      <c r="J134" s="75" t="s">
        <v>13</v>
      </c>
      <c r="K134" s="75" t="s">
        <v>13</v>
      </c>
    </row>
    <row r="135" spans="1:13" ht="23.25" customHeight="1" x14ac:dyDescent="0.25">
      <c r="A135" s="15">
        <v>17</v>
      </c>
      <c r="B135" s="24">
        <v>103</v>
      </c>
      <c r="C135" s="13">
        <v>43566</v>
      </c>
      <c r="D135" s="13">
        <v>43570</v>
      </c>
      <c r="E135">
        <f t="shared" ref="E135:E149" si="7">ROUNDDOWN((D135-C135),0)</f>
        <v>4</v>
      </c>
      <c r="F135" s="42" t="s">
        <v>87</v>
      </c>
      <c r="G135" s="42" t="s">
        <v>87</v>
      </c>
      <c r="H135" s="77" t="s">
        <v>136</v>
      </c>
      <c r="I135" s="42" t="s">
        <v>87</v>
      </c>
      <c r="J135" s="42" t="s">
        <v>87</v>
      </c>
      <c r="K135" s="42" t="s">
        <v>87</v>
      </c>
    </row>
    <row r="136" spans="1:13" ht="34.5" customHeight="1" x14ac:dyDescent="0.25">
      <c r="A136" s="15">
        <v>14</v>
      </c>
      <c r="B136" s="24">
        <v>104</v>
      </c>
      <c r="C136" s="48">
        <v>43564</v>
      </c>
      <c r="D136" s="13">
        <v>43565</v>
      </c>
      <c r="E136">
        <f t="shared" si="7"/>
        <v>1</v>
      </c>
      <c r="F136" s="78" t="s">
        <v>143</v>
      </c>
      <c r="G136" s="78" t="s">
        <v>143</v>
      </c>
      <c r="H136" s="78" t="s">
        <v>143</v>
      </c>
      <c r="I136" s="78" t="s">
        <v>143</v>
      </c>
      <c r="J136" s="78" t="s">
        <v>143</v>
      </c>
      <c r="K136" s="78" t="s">
        <v>143</v>
      </c>
      <c r="L136" s="38" t="s">
        <v>106</v>
      </c>
    </row>
    <row r="137" spans="1:13" ht="34.5" x14ac:dyDescent="0.25">
      <c r="A137" s="15">
        <v>14</v>
      </c>
      <c r="B137" s="24">
        <v>104</v>
      </c>
      <c r="C137" s="48">
        <v>43564</v>
      </c>
      <c r="D137" s="13">
        <v>43612</v>
      </c>
      <c r="E137">
        <f t="shared" si="7"/>
        <v>48</v>
      </c>
      <c r="F137" s="77" t="s">
        <v>144</v>
      </c>
      <c r="G137" s="77" t="s">
        <v>145</v>
      </c>
      <c r="H137" s="78" t="s">
        <v>146</v>
      </c>
      <c r="I137" s="78" t="s">
        <v>147</v>
      </c>
      <c r="J137" s="78" t="s">
        <v>148</v>
      </c>
      <c r="K137" s="78" t="s">
        <v>47</v>
      </c>
      <c r="L137" s="38"/>
    </row>
    <row r="138" spans="1:13" ht="23.25" customHeight="1" x14ac:dyDescent="0.25">
      <c r="A138" s="15">
        <v>24</v>
      </c>
      <c r="B138" s="24">
        <v>105</v>
      </c>
      <c r="C138" s="48">
        <v>43567</v>
      </c>
      <c r="D138" s="13">
        <v>43576</v>
      </c>
      <c r="E138">
        <f t="shared" si="7"/>
        <v>9</v>
      </c>
      <c r="F138" s="78" t="s">
        <v>130</v>
      </c>
      <c r="G138" s="78" t="s">
        <v>130</v>
      </c>
      <c r="H138" s="78" t="s">
        <v>130</v>
      </c>
      <c r="I138" s="78" t="s">
        <v>130</v>
      </c>
      <c r="J138" s="78" t="s">
        <v>132</v>
      </c>
      <c r="K138" s="78" t="s">
        <v>131</v>
      </c>
      <c r="L138" s="38" t="s">
        <v>108</v>
      </c>
      <c r="M138" s="82">
        <v>43617</v>
      </c>
    </row>
    <row r="139" spans="1:13" ht="23.25" customHeight="1" x14ac:dyDescent="0.25">
      <c r="A139" s="15">
        <v>16</v>
      </c>
      <c r="B139" s="24">
        <v>106</v>
      </c>
      <c r="C139" s="48">
        <v>43572</v>
      </c>
      <c r="D139" s="13">
        <v>43578</v>
      </c>
      <c r="E139">
        <f t="shared" si="7"/>
        <v>6</v>
      </c>
      <c r="F139" s="78" t="s">
        <v>47</v>
      </c>
      <c r="G139" s="42" t="s">
        <v>87</v>
      </c>
      <c r="H139" s="42" t="s">
        <v>87</v>
      </c>
      <c r="I139" s="79" t="s">
        <v>140</v>
      </c>
      <c r="J139" s="42" t="s">
        <v>87</v>
      </c>
      <c r="K139" s="77" t="s">
        <v>141</v>
      </c>
      <c r="L139" s="38" t="s">
        <v>142</v>
      </c>
    </row>
    <row r="140" spans="1:13" ht="23.25" x14ac:dyDescent="0.25">
      <c r="A140" s="15">
        <v>24</v>
      </c>
      <c r="B140" s="24">
        <v>107</v>
      </c>
      <c r="C140" s="48">
        <v>43574</v>
      </c>
      <c r="D140" s="13">
        <v>43575</v>
      </c>
      <c r="E140">
        <f t="shared" si="7"/>
        <v>1</v>
      </c>
      <c r="F140" s="77" t="s">
        <v>119</v>
      </c>
      <c r="G140" s="78" t="s">
        <v>120</v>
      </c>
      <c r="H140" s="78" t="s">
        <v>121</v>
      </c>
      <c r="I140" s="79" t="s">
        <v>122</v>
      </c>
      <c r="J140" s="78" t="s">
        <v>76</v>
      </c>
      <c r="K140" s="78" t="s">
        <v>123</v>
      </c>
      <c r="L140" s="38" t="s">
        <v>109</v>
      </c>
      <c r="M140" s="82">
        <v>43617</v>
      </c>
    </row>
    <row r="141" spans="1:13" ht="15" customHeight="1" x14ac:dyDescent="0.25">
      <c r="A141" s="15">
        <v>24</v>
      </c>
      <c r="B141" s="24">
        <v>107</v>
      </c>
      <c r="C141" s="48">
        <v>43574</v>
      </c>
      <c r="D141" s="13">
        <v>43596</v>
      </c>
      <c r="E141">
        <f t="shared" si="7"/>
        <v>22</v>
      </c>
      <c r="F141" s="78" t="s">
        <v>124</v>
      </c>
      <c r="G141" s="42" t="s">
        <v>87</v>
      </c>
      <c r="H141" s="78" t="s">
        <v>47</v>
      </c>
      <c r="I141" s="78" t="s">
        <v>47</v>
      </c>
      <c r="J141" s="42" t="s">
        <v>87</v>
      </c>
      <c r="K141" s="78" t="s">
        <v>47</v>
      </c>
      <c r="L141" s="38"/>
      <c r="M141" s="82">
        <v>43617</v>
      </c>
    </row>
    <row r="142" spans="1:13" ht="23.25" customHeight="1" x14ac:dyDescent="0.25">
      <c r="A142" s="15">
        <v>21</v>
      </c>
      <c r="B142" s="24">
        <v>108</v>
      </c>
      <c r="C142" s="13">
        <v>43581</v>
      </c>
      <c r="D142" s="13">
        <v>43594</v>
      </c>
      <c r="E142" s="44">
        <f t="shared" si="7"/>
        <v>13</v>
      </c>
      <c r="F142" s="80" t="s">
        <v>87</v>
      </c>
      <c r="G142" s="80" t="s">
        <v>87</v>
      </c>
      <c r="H142" s="80" t="s">
        <v>87</v>
      </c>
      <c r="I142" s="80" t="s">
        <v>87</v>
      </c>
      <c r="J142" s="80" t="s">
        <v>87</v>
      </c>
      <c r="K142" s="80" t="s">
        <v>87</v>
      </c>
      <c r="L142" s="38" t="s">
        <v>103</v>
      </c>
    </row>
    <row r="143" spans="1:13" ht="15" customHeight="1" x14ac:dyDescent="0.25">
      <c r="A143" s="15">
        <v>21</v>
      </c>
      <c r="B143" s="24">
        <v>108</v>
      </c>
      <c r="C143" s="13">
        <v>43581</v>
      </c>
      <c r="D143" s="13">
        <v>43594</v>
      </c>
      <c r="E143" s="44">
        <f t="shared" si="7"/>
        <v>13</v>
      </c>
      <c r="F143" s="80" t="s">
        <v>87</v>
      </c>
      <c r="G143" s="80" t="s">
        <v>87</v>
      </c>
      <c r="H143" s="80" t="s">
        <v>87</v>
      </c>
      <c r="I143" s="80" t="s">
        <v>87</v>
      </c>
      <c r="J143" s="80" t="s">
        <v>87</v>
      </c>
      <c r="K143" s="79" t="s">
        <v>133</v>
      </c>
      <c r="L143" s="38" t="s">
        <v>134</v>
      </c>
      <c r="M143" s="82">
        <v>43617</v>
      </c>
    </row>
    <row r="144" spans="1:13" ht="23.25" customHeight="1" x14ac:dyDescent="0.25">
      <c r="A144" s="15">
        <v>16</v>
      </c>
      <c r="B144" s="24">
        <v>109</v>
      </c>
      <c r="C144" s="13">
        <v>43583</v>
      </c>
      <c r="D144" s="13">
        <v>43599</v>
      </c>
      <c r="E144" s="44">
        <f t="shared" si="7"/>
        <v>16</v>
      </c>
      <c r="F144" s="42" t="s">
        <v>87</v>
      </c>
      <c r="G144" s="42" t="s">
        <v>87</v>
      </c>
      <c r="H144" s="42" t="s">
        <v>87</v>
      </c>
      <c r="I144" s="79" t="s">
        <v>137</v>
      </c>
      <c r="J144" s="77" t="s">
        <v>138</v>
      </c>
      <c r="K144" s="79" t="s">
        <v>139</v>
      </c>
      <c r="L144" s="38"/>
    </row>
    <row r="145" spans="1:13" ht="15" customHeight="1" x14ac:dyDescent="0.25">
      <c r="A145" s="15">
        <v>17</v>
      </c>
      <c r="B145" s="24">
        <v>110</v>
      </c>
      <c r="C145" s="13">
        <v>43584</v>
      </c>
      <c r="D145" s="13">
        <v>43585</v>
      </c>
      <c r="E145" s="44">
        <f t="shared" si="7"/>
        <v>1</v>
      </c>
      <c r="F145" s="42" t="s">
        <v>87</v>
      </c>
      <c r="G145" s="42" t="s">
        <v>87</v>
      </c>
      <c r="H145" s="42" t="s">
        <v>87</v>
      </c>
      <c r="I145" s="42" t="s">
        <v>87</v>
      </c>
      <c r="J145" s="42" t="s">
        <v>87</v>
      </c>
      <c r="K145" s="42" t="s">
        <v>87</v>
      </c>
      <c r="L145" s="38"/>
    </row>
    <row r="146" spans="1:13" ht="15" customHeight="1" x14ac:dyDescent="0.25">
      <c r="A146" s="15">
        <v>11</v>
      </c>
      <c r="B146" s="24">
        <v>111</v>
      </c>
      <c r="C146" s="48">
        <v>43589</v>
      </c>
      <c r="D146" s="13">
        <v>43602</v>
      </c>
      <c r="E146" s="44">
        <f t="shared" si="7"/>
        <v>13</v>
      </c>
      <c r="F146" s="42" t="s">
        <v>87</v>
      </c>
      <c r="G146" s="77" t="s">
        <v>149</v>
      </c>
      <c r="H146" s="77" t="s">
        <v>150</v>
      </c>
      <c r="I146" s="42" t="s">
        <v>87</v>
      </c>
      <c r="J146" s="77" t="s">
        <v>151</v>
      </c>
      <c r="K146" s="79" t="s">
        <v>152</v>
      </c>
      <c r="L146" s="38"/>
      <c r="M146" s="82">
        <v>43617</v>
      </c>
    </row>
    <row r="147" spans="1:13" ht="15" customHeight="1" x14ac:dyDescent="0.25">
      <c r="A147" s="15">
        <v>24</v>
      </c>
      <c r="B147" s="24">
        <v>112</v>
      </c>
      <c r="C147" s="48">
        <v>43589</v>
      </c>
      <c r="D147" s="13">
        <v>43591</v>
      </c>
      <c r="E147" s="44">
        <f t="shared" si="7"/>
        <v>2</v>
      </c>
      <c r="F147" s="78" t="s">
        <v>130</v>
      </c>
      <c r="G147" s="78" t="s">
        <v>130</v>
      </c>
      <c r="H147" s="78" t="s">
        <v>130</v>
      </c>
      <c r="I147" s="78" t="s">
        <v>130</v>
      </c>
      <c r="J147" s="78" t="s">
        <v>132</v>
      </c>
      <c r="K147" s="78" t="s">
        <v>131</v>
      </c>
      <c r="L147" s="38"/>
      <c r="M147" s="82">
        <v>43617</v>
      </c>
    </row>
    <row r="148" spans="1:13" ht="15" customHeight="1" x14ac:dyDescent="0.25">
      <c r="A148" s="15">
        <v>24</v>
      </c>
      <c r="B148" s="24">
        <v>112</v>
      </c>
      <c r="C148" s="48">
        <v>43589</v>
      </c>
      <c r="D148" s="13">
        <v>43596</v>
      </c>
      <c r="E148" s="44">
        <f t="shared" si="7"/>
        <v>7</v>
      </c>
      <c r="F148" s="76" t="s">
        <v>77</v>
      </c>
      <c r="G148" s="76" t="s">
        <v>77</v>
      </c>
      <c r="H148" s="76" t="s">
        <v>77</v>
      </c>
      <c r="I148" s="76" t="s">
        <v>77</v>
      </c>
      <c r="J148" s="76" t="s">
        <v>77</v>
      </c>
      <c r="K148" s="76" t="s">
        <v>77</v>
      </c>
      <c r="L148" s="38" t="s">
        <v>107</v>
      </c>
    </row>
    <row r="149" spans="1:13" ht="15" customHeight="1" x14ac:dyDescent="0.25">
      <c r="A149" s="15">
        <v>24</v>
      </c>
      <c r="B149" s="24">
        <v>112</v>
      </c>
      <c r="C149" s="48">
        <v>43589</v>
      </c>
      <c r="D149" s="13">
        <v>43600</v>
      </c>
      <c r="E149" s="44">
        <f t="shared" si="7"/>
        <v>11</v>
      </c>
      <c r="F149" s="76" t="s">
        <v>77</v>
      </c>
      <c r="G149" s="76" t="s">
        <v>77</v>
      </c>
      <c r="H149" s="76" t="s">
        <v>77</v>
      </c>
      <c r="I149" s="76" t="s">
        <v>77</v>
      </c>
      <c r="J149" s="76" t="s">
        <v>77</v>
      </c>
      <c r="K149" s="76" t="s">
        <v>77</v>
      </c>
    </row>
    <row r="150" spans="1:13" ht="15" customHeight="1" x14ac:dyDescent="0.25">
      <c r="A150" s="15">
        <v>26</v>
      </c>
      <c r="B150" s="24">
        <v>113</v>
      </c>
      <c r="C150" s="13" t="s">
        <v>105</v>
      </c>
      <c r="D150" s="13">
        <v>43601</v>
      </c>
      <c r="E150" s="13" t="s">
        <v>105</v>
      </c>
      <c r="F150" s="42" t="s">
        <v>87</v>
      </c>
      <c r="G150" s="42" t="s">
        <v>87</v>
      </c>
      <c r="H150" s="42" t="s">
        <v>87</v>
      </c>
      <c r="I150" s="42" t="s">
        <v>87</v>
      </c>
      <c r="J150" s="42" t="s">
        <v>87</v>
      </c>
      <c r="K150" s="42" t="s">
        <v>87</v>
      </c>
      <c r="M150" s="82">
        <v>43617</v>
      </c>
    </row>
    <row r="151" spans="1:13" ht="15" customHeight="1" x14ac:dyDescent="0.25">
      <c r="A151" s="15">
        <v>13</v>
      </c>
      <c r="B151" s="24">
        <v>114</v>
      </c>
      <c r="C151" s="48">
        <v>43593</v>
      </c>
      <c r="D151" s="13">
        <v>43599</v>
      </c>
      <c r="E151" s="44">
        <f>ROUNDDOWN((D151-C151),0)</f>
        <v>6</v>
      </c>
      <c r="F151" s="42" t="s">
        <v>87</v>
      </c>
      <c r="G151" s="83" t="s">
        <v>201</v>
      </c>
      <c r="H151" s="77" t="s">
        <v>201</v>
      </c>
      <c r="I151" s="77" t="s">
        <v>201</v>
      </c>
      <c r="J151" s="42" t="s">
        <v>87</v>
      </c>
      <c r="K151" s="42" t="s">
        <v>87</v>
      </c>
    </row>
    <row r="152" spans="1:13" ht="15" customHeight="1" x14ac:dyDescent="0.25">
      <c r="A152" s="15">
        <v>21</v>
      </c>
      <c r="B152" s="24">
        <v>115</v>
      </c>
      <c r="C152" s="48">
        <v>43596</v>
      </c>
      <c r="D152" s="13">
        <v>43632</v>
      </c>
      <c r="E152" s="13" t="s">
        <v>105</v>
      </c>
      <c r="F152" s="83" t="s">
        <v>157</v>
      </c>
      <c r="G152" s="84" t="s">
        <v>158</v>
      </c>
      <c r="H152" s="79" t="s">
        <v>159</v>
      </c>
      <c r="I152" s="85" t="s">
        <v>160</v>
      </c>
      <c r="J152" s="79" t="s">
        <v>161</v>
      </c>
      <c r="K152" s="85" t="s">
        <v>162</v>
      </c>
      <c r="L152" t="s">
        <v>163</v>
      </c>
      <c r="M152" s="82">
        <v>43745</v>
      </c>
    </row>
    <row r="153" spans="1:13" ht="15" customHeight="1" x14ac:dyDescent="0.25">
      <c r="A153" s="15">
        <v>24</v>
      </c>
      <c r="B153" s="24">
        <v>116</v>
      </c>
      <c r="C153" s="48">
        <v>43601</v>
      </c>
      <c r="D153" s="13" t="s">
        <v>105</v>
      </c>
      <c r="E153" s="13" t="s">
        <v>105</v>
      </c>
      <c r="F153" s="75" t="s">
        <v>13</v>
      </c>
      <c r="G153" s="75" t="s">
        <v>13</v>
      </c>
      <c r="H153" s="75" t="s">
        <v>13</v>
      </c>
      <c r="I153" s="75" t="s">
        <v>13</v>
      </c>
      <c r="J153" s="75" t="s">
        <v>13</v>
      </c>
      <c r="K153" s="75" t="s">
        <v>13</v>
      </c>
    </row>
    <row r="154" spans="1:13" x14ac:dyDescent="0.25">
      <c r="B154" s="24">
        <v>117</v>
      </c>
      <c r="F154" s="75" t="s">
        <v>13</v>
      </c>
      <c r="G154" s="75" t="s">
        <v>13</v>
      </c>
      <c r="H154" s="75" t="s">
        <v>13</v>
      </c>
      <c r="I154" s="75" t="s">
        <v>13</v>
      </c>
      <c r="J154" s="75" t="s">
        <v>13</v>
      </c>
      <c r="K154" s="75" t="s">
        <v>13</v>
      </c>
    </row>
    <row r="155" spans="1:13" x14ac:dyDescent="0.25">
      <c r="B155" s="24">
        <v>118</v>
      </c>
      <c r="F155" s="76" t="s">
        <v>77</v>
      </c>
      <c r="G155" s="76" t="s">
        <v>77</v>
      </c>
      <c r="H155" s="76" t="s">
        <v>77</v>
      </c>
      <c r="I155" s="76" t="s">
        <v>77</v>
      </c>
      <c r="J155" s="76" t="s">
        <v>77</v>
      </c>
      <c r="K155" s="76" t="s">
        <v>77</v>
      </c>
    </row>
    <row r="156" spans="1:13" x14ac:dyDescent="0.25">
      <c r="B156" s="24">
        <v>119</v>
      </c>
      <c r="F156" s="75" t="s">
        <v>13</v>
      </c>
      <c r="G156" s="75" t="s">
        <v>13</v>
      </c>
      <c r="H156" s="75" t="s">
        <v>13</v>
      </c>
      <c r="I156" s="75" t="s">
        <v>13</v>
      </c>
      <c r="J156" s="75" t="s">
        <v>13</v>
      </c>
      <c r="K156" s="75" t="s">
        <v>13</v>
      </c>
    </row>
    <row r="157" spans="1:13" x14ac:dyDescent="0.25">
      <c r="B157" s="24">
        <v>120</v>
      </c>
      <c r="F157" s="75" t="s">
        <v>13</v>
      </c>
      <c r="G157" s="75" t="s">
        <v>13</v>
      </c>
      <c r="H157" s="75" t="s">
        <v>13</v>
      </c>
      <c r="I157" s="75" t="s">
        <v>13</v>
      </c>
      <c r="J157" s="75" t="s">
        <v>13</v>
      </c>
      <c r="K157" s="75" t="s">
        <v>13</v>
      </c>
    </row>
    <row r="158" spans="1:13" x14ac:dyDescent="0.25">
      <c r="B158" s="24">
        <v>121</v>
      </c>
      <c r="F158" s="75" t="s">
        <v>13</v>
      </c>
      <c r="G158" s="75" t="s">
        <v>13</v>
      </c>
      <c r="H158" s="75" t="s">
        <v>13</v>
      </c>
      <c r="I158" s="75" t="s">
        <v>13</v>
      </c>
      <c r="J158" s="75" t="s">
        <v>13</v>
      </c>
      <c r="K158" s="75" t="s">
        <v>13</v>
      </c>
    </row>
    <row r="159" spans="1:13" ht="23.25" x14ac:dyDescent="0.25">
      <c r="A159">
        <v>16</v>
      </c>
      <c r="B159" s="24">
        <v>122</v>
      </c>
      <c r="D159" s="82">
        <v>43654</v>
      </c>
      <c r="F159" s="42" t="s">
        <v>87</v>
      </c>
      <c r="G159" s="42" t="s">
        <v>87</v>
      </c>
      <c r="H159" s="42" t="s">
        <v>87</v>
      </c>
      <c r="I159" s="90" t="s">
        <v>174</v>
      </c>
      <c r="J159" s="90" t="s">
        <v>175</v>
      </c>
      <c r="K159" s="42" t="s">
        <v>87</v>
      </c>
    </row>
    <row r="160" spans="1:13" ht="45" x14ac:dyDescent="0.25">
      <c r="A160" s="15">
        <v>21</v>
      </c>
      <c r="B160" s="24">
        <v>123</v>
      </c>
      <c r="D160" s="82">
        <v>43664</v>
      </c>
      <c r="F160" s="80" t="s">
        <v>87</v>
      </c>
      <c r="G160" s="86" t="s">
        <v>164</v>
      </c>
      <c r="H160" s="86" t="s">
        <v>167</v>
      </c>
      <c r="I160" s="86" t="s">
        <v>160</v>
      </c>
      <c r="J160" s="87" t="s">
        <v>168</v>
      </c>
      <c r="K160" s="88" t="s">
        <v>168</v>
      </c>
    </row>
    <row r="161" spans="1:13" x14ac:dyDescent="0.25">
      <c r="B161" s="24">
        <v>124</v>
      </c>
      <c r="F161" s="76" t="s">
        <v>77</v>
      </c>
      <c r="G161" s="76" t="s">
        <v>77</v>
      </c>
      <c r="H161" s="76" t="s">
        <v>77</v>
      </c>
      <c r="I161" s="76" t="s">
        <v>77</v>
      </c>
      <c r="J161" s="76" t="s">
        <v>77</v>
      </c>
      <c r="K161" s="76" t="s">
        <v>77</v>
      </c>
    </row>
    <row r="162" spans="1:13" x14ac:dyDescent="0.25">
      <c r="B162" s="24">
        <v>125</v>
      </c>
      <c r="F162" s="75" t="s">
        <v>13</v>
      </c>
      <c r="G162" s="75" t="s">
        <v>13</v>
      </c>
      <c r="H162" s="75" t="s">
        <v>13</v>
      </c>
      <c r="I162" s="75" t="s">
        <v>13</v>
      </c>
      <c r="J162" s="75" t="s">
        <v>13</v>
      </c>
      <c r="K162" s="75" t="s">
        <v>13</v>
      </c>
    </row>
    <row r="163" spans="1:13" x14ac:dyDescent="0.25">
      <c r="B163" s="24">
        <v>126</v>
      </c>
      <c r="F163" s="76" t="s">
        <v>77</v>
      </c>
      <c r="G163" s="76" t="s">
        <v>77</v>
      </c>
      <c r="H163" s="76" t="s">
        <v>77</v>
      </c>
      <c r="I163" s="76" t="s">
        <v>77</v>
      </c>
      <c r="J163" s="76" t="s">
        <v>77</v>
      </c>
      <c r="K163" s="76" t="s">
        <v>77</v>
      </c>
    </row>
    <row r="164" spans="1:13" ht="47.25" x14ac:dyDescent="0.25">
      <c r="A164">
        <v>26</v>
      </c>
      <c r="B164" s="24">
        <v>127</v>
      </c>
      <c r="D164" s="82">
        <v>43675</v>
      </c>
      <c r="F164" s="80" t="s">
        <v>87</v>
      </c>
      <c r="G164" s="78" t="s">
        <v>47</v>
      </c>
      <c r="H164" s="78" t="s">
        <v>47</v>
      </c>
      <c r="I164" s="78" t="s">
        <v>47</v>
      </c>
      <c r="J164" s="78" t="s">
        <v>192</v>
      </c>
      <c r="K164" s="92" t="s">
        <v>193</v>
      </c>
    </row>
    <row r="165" spans="1:13" ht="45" x14ac:dyDescent="0.25">
      <c r="A165" s="15">
        <v>21</v>
      </c>
      <c r="B165" s="24">
        <v>128</v>
      </c>
      <c r="D165" s="82">
        <v>43695</v>
      </c>
      <c r="F165" s="80" t="s">
        <v>87</v>
      </c>
      <c r="G165" s="86" t="s">
        <v>165</v>
      </c>
      <c r="H165" s="86" t="s">
        <v>164</v>
      </c>
      <c r="I165" s="89" t="s">
        <v>87</v>
      </c>
      <c r="J165" s="88" t="s">
        <v>168</v>
      </c>
      <c r="K165" s="88" t="s">
        <v>168</v>
      </c>
    </row>
    <row r="166" spans="1:13" x14ac:dyDescent="0.25">
      <c r="A166">
        <v>24</v>
      </c>
      <c r="B166" s="24">
        <v>129</v>
      </c>
      <c r="D166" s="82">
        <v>43698</v>
      </c>
      <c r="F166" s="80" t="s">
        <v>87</v>
      </c>
      <c r="G166" s="80" t="s">
        <v>87</v>
      </c>
      <c r="H166" s="80" t="s">
        <v>87</v>
      </c>
      <c r="I166" s="80" t="s">
        <v>87</v>
      </c>
      <c r="J166" s="80" t="s">
        <v>87</v>
      </c>
      <c r="K166" s="80" t="s">
        <v>87</v>
      </c>
    </row>
    <row r="167" spans="1:13" x14ac:dyDescent="0.25">
      <c r="A167">
        <v>16</v>
      </c>
      <c r="B167" s="24">
        <v>130</v>
      </c>
      <c r="D167" s="82">
        <v>43699</v>
      </c>
      <c r="F167" s="42" t="s">
        <v>87</v>
      </c>
      <c r="G167" s="42" t="s">
        <v>87</v>
      </c>
      <c r="H167" s="42" t="s">
        <v>87</v>
      </c>
      <c r="I167" s="90" t="s">
        <v>173</v>
      </c>
      <c r="J167" s="42" t="s">
        <v>87</v>
      </c>
      <c r="K167" s="42" t="s">
        <v>87</v>
      </c>
    </row>
    <row r="168" spans="1:13" x14ac:dyDescent="0.25">
      <c r="B168" s="24">
        <v>131</v>
      </c>
      <c r="F168" s="76" t="s">
        <v>77</v>
      </c>
      <c r="G168" s="76" t="s">
        <v>77</v>
      </c>
      <c r="H168" s="76" t="s">
        <v>77</v>
      </c>
      <c r="I168" s="76" t="s">
        <v>77</v>
      </c>
      <c r="J168" s="76" t="s">
        <v>77</v>
      </c>
      <c r="K168" s="76" t="s">
        <v>77</v>
      </c>
    </row>
    <row r="169" spans="1:13" x14ac:dyDescent="0.25">
      <c r="B169" s="24">
        <v>132</v>
      </c>
      <c r="F169" s="75" t="s">
        <v>13</v>
      </c>
      <c r="G169" s="75" t="s">
        <v>13</v>
      </c>
      <c r="H169" s="75" t="s">
        <v>13</v>
      </c>
      <c r="I169" s="75" t="s">
        <v>13</v>
      </c>
      <c r="J169" s="75" t="s">
        <v>13</v>
      </c>
      <c r="K169" s="75" t="s">
        <v>13</v>
      </c>
    </row>
    <row r="170" spans="1:13" x14ac:dyDescent="0.25">
      <c r="B170" s="24">
        <v>133</v>
      </c>
      <c r="F170" s="76" t="s">
        <v>77</v>
      </c>
      <c r="G170" s="76" t="s">
        <v>77</v>
      </c>
      <c r="H170" s="76" t="s">
        <v>77</v>
      </c>
      <c r="I170" s="76" t="s">
        <v>77</v>
      </c>
      <c r="J170" s="76" t="s">
        <v>77</v>
      </c>
      <c r="K170" s="76" t="s">
        <v>77</v>
      </c>
    </row>
    <row r="171" spans="1:13" ht="31.5" x14ac:dyDescent="0.25">
      <c r="A171" s="15">
        <v>17</v>
      </c>
      <c r="B171" s="24">
        <v>133</v>
      </c>
      <c r="C171" s="82"/>
      <c r="D171" s="82">
        <v>43697</v>
      </c>
      <c r="F171" s="80" t="s">
        <v>87</v>
      </c>
      <c r="G171" s="80" t="s">
        <v>87</v>
      </c>
      <c r="H171" s="103" t="s">
        <v>185</v>
      </c>
      <c r="I171" s="80" t="s">
        <v>87</v>
      </c>
      <c r="J171" s="80" t="s">
        <v>87</v>
      </c>
      <c r="K171" s="80" t="s">
        <v>87</v>
      </c>
      <c r="M171" s="82">
        <v>43745</v>
      </c>
    </row>
    <row r="172" spans="1:13" ht="47.25" x14ac:dyDescent="0.25">
      <c r="A172">
        <v>26</v>
      </c>
      <c r="B172" s="24">
        <v>134</v>
      </c>
      <c r="D172" s="82">
        <v>43715</v>
      </c>
      <c r="F172" s="80" t="s">
        <v>87</v>
      </c>
      <c r="G172" s="78" t="s">
        <v>47</v>
      </c>
      <c r="H172" s="78" t="s">
        <v>47</v>
      </c>
      <c r="I172" s="78" t="s">
        <v>47</v>
      </c>
      <c r="J172" s="78" t="s">
        <v>192</v>
      </c>
      <c r="K172" s="92" t="s">
        <v>193</v>
      </c>
      <c r="M172" s="82">
        <v>43745</v>
      </c>
    </row>
    <row r="173" spans="1:13" x14ac:dyDescent="0.25">
      <c r="B173" s="24">
        <v>135</v>
      </c>
      <c r="F173" s="76" t="s">
        <v>77</v>
      </c>
      <c r="G173" s="76" t="s">
        <v>77</v>
      </c>
      <c r="H173" s="76" t="s">
        <v>77</v>
      </c>
      <c r="I173" s="76" t="s">
        <v>77</v>
      </c>
      <c r="J173" s="76" t="s">
        <v>77</v>
      </c>
      <c r="K173" s="76" t="s">
        <v>77</v>
      </c>
      <c r="M173" s="82">
        <v>43745</v>
      </c>
    </row>
    <row r="174" spans="1:13" ht="31.5" x14ac:dyDescent="0.25">
      <c r="A174" s="15">
        <v>17</v>
      </c>
      <c r="B174" s="24">
        <v>135</v>
      </c>
      <c r="D174" s="82">
        <v>43699</v>
      </c>
      <c r="F174" s="80" t="s">
        <v>87</v>
      </c>
      <c r="G174" s="80" t="s">
        <v>87</v>
      </c>
      <c r="H174" s="103" t="s">
        <v>185</v>
      </c>
      <c r="I174" s="80" t="s">
        <v>87</v>
      </c>
      <c r="J174" s="80" t="s">
        <v>87</v>
      </c>
      <c r="K174" s="80" t="s">
        <v>87</v>
      </c>
    </row>
    <row r="175" spans="1:13" ht="47.25" x14ac:dyDescent="0.25">
      <c r="A175" s="15">
        <v>16</v>
      </c>
      <c r="B175" s="24">
        <v>136</v>
      </c>
      <c r="D175" s="82">
        <v>43720</v>
      </c>
      <c r="F175" s="80" t="s">
        <v>87</v>
      </c>
      <c r="G175" s="80" t="s">
        <v>87</v>
      </c>
      <c r="H175" s="80" t="s">
        <v>87</v>
      </c>
      <c r="I175" s="104" t="s">
        <v>179</v>
      </c>
      <c r="J175" s="103" t="s">
        <v>180</v>
      </c>
      <c r="K175" s="97" t="s">
        <v>181</v>
      </c>
    </row>
    <row r="176" spans="1:13" x14ac:dyDescent="0.25">
      <c r="A176" s="15"/>
      <c r="B176" s="24">
        <v>137</v>
      </c>
      <c r="D176" s="82"/>
      <c r="F176" s="75" t="s">
        <v>13</v>
      </c>
      <c r="G176" s="75" t="s">
        <v>13</v>
      </c>
      <c r="H176" s="75" t="s">
        <v>13</v>
      </c>
      <c r="I176" s="75" t="s">
        <v>13</v>
      </c>
      <c r="J176" s="75" t="s">
        <v>13</v>
      </c>
      <c r="K176" s="75" t="s">
        <v>13</v>
      </c>
    </row>
    <row r="177" spans="1:12" x14ac:dyDescent="0.25">
      <c r="A177" s="15"/>
      <c r="B177" s="24">
        <v>138</v>
      </c>
      <c r="D177" s="82"/>
      <c r="F177" s="75" t="s">
        <v>13</v>
      </c>
      <c r="G177" s="75" t="s">
        <v>13</v>
      </c>
      <c r="H177" s="75" t="s">
        <v>13</v>
      </c>
      <c r="I177" s="75" t="s">
        <v>13</v>
      </c>
      <c r="J177" s="75" t="s">
        <v>13</v>
      </c>
      <c r="K177" s="75" t="s">
        <v>13</v>
      </c>
    </row>
    <row r="178" spans="1:12" ht="31.5" x14ac:dyDescent="0.25">
      <c r="A178" s="15">
        <v>17</v>
      </c>
      <c r="B178" s="24">
        <v>139</v>
      </c>
      <c r="D178" s="82">
        <v>43734</v>
      </c>
      <c r="F178" s="80" t="s">
        <v>87</v>
      </c>
      <c r="G178" s="80" t="s">
        <v>87</v>
      </c>
      <c r="H178" s="103" t="s">
        <v>185</v>
      </c>
      <c r="I178" s="80" t="s">
        <v>87</v>
      </c>
      <c r="J178" s="80" t="s">
        <v>87</v>
      </c>
      <c r="K178" s="80" t="s">
        <v>87</v>
      </c>
    </row>
    <row r="179" spans="1:12" ht="47.25" x14ac:dyDescent="0.25">
      <c r="A179" s="15">
        <v>16</v>
      </c>
      <c r="B179" s="24">
        <v>140</v>
      </c>
      <c r="C179" s="82"/>
      <c r="D179" s="82">
        <v>43734</v>
      </c>
      <c r="F179" s="80" t="s">
        <v>87</v>
      </c>
      <c r="G179" s="80" t="s">
        <v>87</v>
      </c>
      <c r="H179" s="80" t="s">
        <v>87</v>
      </c>
      <c r="I179" s="105" t="s">
        <v>177</v>
      </c>
      <c r="J179" s="103" t="s">
        <v>178</v>
      </c>
      <c r="K179" s="80" t="s">
        <v>87</v>
      </c>
    </row>
    <row r="180" spans="1:12" x14ac:dyDescent="0.25">
      <c r="A180" s="15"/>
      <c r="B180" s="24">
        <v>141</v>
      </c>
      <c r="C180" s="82"/>
      <c r="D180" s="82"/>
      <c r="F180" s="75" t="s">
        <v>13</v>
      </c>
      <c r="G180" s="75" t="s">
        <v>13</v>
      </c>
      <c r="H180" s="75" t="s">
        <v>13</v>
      </c>
      <c r="I180" s="75" t="s">
        <v>13</v>
      </c>
      <c r="J180" s="75" t="s">
        <v>13</v>
      </c>
      <c r="K180" s="75" t="s">
        <v>13</v>
      </c>
    </row>
    <row r="181" spans="1:12" x14ac:dyDescent="0.25">
      <c r="A181" s="15"/>
      <c r="B181" s="24">
        <v>142</v>
      </c>
      <c r="C181" s="82"/>
      <c r="D181" s="82"/>
      <c r="F181" s="75" t="s">
        <v>13</v>
      </c>
      <c r="G181" s="75" t="s">
        <v>13</v>
      </c>
      <c r="H181" s="75" t="s">
        <v>13</v>
      </c>
      <c r="I181" s="75" t="s">
        <v>13</v>
      </c>
      <c r="J181" s="75" t="s">
        <v>13</v>
      </c>
      <c r="K181" s="75" t="s">
        <v>13</v>
      </c>
    </row>
    <row r="182" spans="1:12" ht="45" x14ac:dyDescent="0.25">
      <c r="A182" s="15">
        <v>21</v>
      </c>
      <c r="B182" s="24">
        <v>143</v>
      </c>
      <c r="D182" s="82">
        <v>43731</v>
      </c>
      <c r="F182" s="80" t="s">
        <v>87</v>
      </c>
      <c r="G182" s="86" t="s">
        <v>166</v>
      </c>
      <c r="H182" s="86" t="s">
        <v>165</v>
      </c>
      <c r="I182" s="89" t="s">
        <v>87</v>
      </c>
      <c r="J182" s="88" t="s">
        <v>168</v>
      </c>
      <c r="K182" s="88" t="s">
        <v>168</v>
      </c>
    </row>
    <row r="183" spans="1:12" ht="75" x14ac:dyDescent="0.25">
      <c r="A183" s="15">
        <v>24</v>
      </c>
      <c r="B183" s="24">
        <v>144</v>
      </c>
      <c r="D183" s="82">
        <v>43746</v>
      </c>
      <c r="F183" s="80" t="s">
        <v>87</v>
      </c>
      <c r="G183" s="93" t="s">
        <v>87</v>
      </c>
      <c r="H183" s="102" t="s">
        <v>169</v>
      </c>
      <c r="I183" s="94" t="s">
        <v>170</v>
      </c>
      <c r="J183" s="95" t="s">
        <v>171</v>
      </c>
      <c r="K183" s="95" t="s">
        <v>172</v>
      </c>
    </row>
    <row r="184" spans="1:12" x14ac:dyDescent="0.25">
      <c r="A184" s="15"/>
      <c r="B184" s="24">
        <v>145</v>
      </c>
      <c r="D184" s="82"/>
      <c r="F184" s="75" t="s">
        <v>13</v>
      </c>
      <c r="G184" s="75" t="s">
        <v>13</v>
      </c>
      <c r="H184" s="75" t="s">
        <v>13</v>
      </c>
      <c r="I184" s="75" t="s">
        <v>13</v>
      </c>
      <c r="J184" s="75" t="s">
        <v>13</v>
      </c>
      <c r="K184" s="75" t="s">
        <v>13</v>
      </c>
    </row>
    <row r="185" spans="1:12" x14ac:dyDescent="0.25">
      <c r="A185" s="15"/>
      <c r="B185" s="24">
        <v>146</v>
      </c>
      <c r="D185" s="82"/>
      <c r="F185" s="75" t="s">
        <v>13</v>
      </c>
      <c r="G185" s="75" t="s">
        <v>13</v>
      </c>
      <c r="H185" s="75" t="s">
        <v>13</v>
      </c>
      <c r="I185" s="75" t="s">
        <v>13</v>
      </c>
      <c r="J185" s="75" t="s">
        <v>13</v>
      </c>
      <c r="K185" s="75" t="s">
        <v>13</v>
      </c>
    </row>
    <row r="186" spans="1:12" x14ac:dyDescent="0.25">
      <c r="A186" s="15">
        <v>26</v>
      </c>
      <c r="B186" s="24">
        <v>147</v>
      </c>
      <c r="D186" s="82">
        <v>43755</v>
      </c>
      <c r="F186" s="80" t="s">
        <v>87</v>
      </c>
      <c r="G186" s="80" t="s">
        <v>87</v>
      </c>
      <c r="H186" s="80" t="s">
        <v>87</v>
      </c>
      <c r="I186" s="80" t="s">
        <v>87</v>
      </c>
      <c r="J186" s="80" t="s">
        <v>87</v>
      </c>
      <c r="K186" s="80" t="s">
        <v>87</v>
      </c>
    </row>
    <row r="187" spans="1:12" ht="15.75" x14ac:dyDescent="0.25">
      <c r="A187" s="15">
        <v>17</v>
      </c>
      <c r="B187" s="24">
        <v>148</v>
      </c>
      <c r="D187" s="82">
        <v>43740</v>
      </c>
      <c r="F187" s="80" t="s">
        <v>87</v>
      </c>
      <c r="G187" s="80" t="s">
        <v>87</v>
      </c>
      <c r="H187" s="97" t="s">
        <v>185</v>
      </c>
      <c r="I187" s="80" t="s">
        <v>87</v>
      </c>
      <c r="J187" s="80" t="s">
        <v>87</v>
      </c>
      <c r="K187" s="80" t="s">
        <v>87</v>
      </c>
    </row>
    <row r="188" spans="1:12" x14ac:dyDescent="0.25">
      <c r="A188" s="15">
        <v>24</v>
      </c>
      <c r="B188" s="24">
        <v>149</v>
      </c>
      <c r="D188" s="82">
        <v>43749</v>
      </c>
      <c r="F188" s="80" t="s">
        <v>87</v>
      </c>
      <c r="G188" s="80" t="s">
        <v>87</v>
      </c>
      <c r="H188" s="80" t="s">
        <v>87</v>
      </c>
      <c r="I188" s="101" t="s">
        <v>191</v>
      </c>
      <c r="J188" s="80" t="s">
        <v>87</v>
      </c>
      <c r="K188" s="80" t="s">
        <v>87</v>
      </c>
    </row>
    <row r="189" spans="1:12" ht="15.75" x14ac:dyDescent="0.25">
      <c r="A189" s="15">
        <v>21</v>
      </c>
      <c r="B189" s="24">
        <v>150</v>
      </c>
      <c r="D189" s="82">
        <v>43757</v>
      </c>
      <c r="F189" s="80" t="s">
        <v>87</v>
      </c>
      <c r="G189" s="80" t="s">
        <v>87</v>
      </c>
      <c r="H189" s="80" t="s">
        <v>87</v>
      </c>
      <c r="I189" s="100" t="s">
        <v>189</v>
      </c>
      <c r="J189" s="80" t="s">
        <v>87</v>
      </c>
      <c r="K189" s="80" t="s">
        <v>87</v>
      </c>
    </row>
    <row r="190" spans="1:12" x14ac:dyDescent="0.25">
      <c r="A190" s="15"/>
      <c r="B190" s="24">
        <v>151</v>
      </c>
      <c r="D190" s="82"/>
      <c r="F190" s="75" t="s">
        <v>13</v>
      </c>
      <c r="G190" s="75" t="s">
        <v>13</v>
      </c>
      <c r="H190" s="75" t="s">
        <v>13</v>
      </c>
      <c r="I190" s="75" t="s">
        <v>13</v>
      </c>
      <c r="J190" s="75" t="s">
        <v>13</v>
      </c>
      <c r="K190" s="75" t="s">
        <v>13</v>
      </c>
    </row>
    <row r="191" spans="1:12" ht="15.75" x14ac:dyDescent="0.25">
      <c r="A191" s="15">
        <v>17</v>
      </c>
      <c r="B191" s="24">
        <v>152</v>
      </c>
      <c r="D191" s="82">
        <v>43750</v>
      </c>
      <c r="F191" s="99" t="s">
        <v>186</v>
      </c>
      <c r="G191" s="99" t="s">
        <v>186</v>
      </c>
      <c r="H191" s="99" t="s">
        <v>186</v>
      </c>
      <c r="I191" s="99" t="s">
        <v>186</v>
      </c>
      <c r="J191" s="99" t="s">
        <v>187</v>
      </c>
      <c r="K191" s="99" t="s">
        <v>186</v>
      </c>
      <c r="L191" s="91" t="s">
        <v>188</v>
      </c>
    </row>
    <row r="192" spans="1:12" ht="15.75" x14ac:dyDescent="0.25">
      <c r="A192" s="15">
        <v>21</v>
      </c>
      <c r="B192" s="24">
        <v>153</v>
      </c>
      <c r="D192" s="82">
        <v>43772</v>
      </c>
      <c r="F192" s="80" t="s">
        <v>87</v>
      </c>
      <c r="G192" s="98" t="s">
        <v>190</v>
      </c>
      <c r="H192" s="98" t="s">
        <v>190</v>
      </c>
      <c r="I192" s="80" t="s">
        <v>87</v>
      </c>
      <c r="J192" s="80" t="s">
        <v>87</v>
      </c>
      <c r="K192" s="80" t="s">
        <v>87</v>
      </c>
    </row>
    <row r="193" spans="1:11" x14ac:dyDescent="0.25">
      <c r="A193" s="15">
        <v>26</v>
      </c>
      <c r="B193" s="24">
        <v>154</v>
      </c>
      <c r="D193" s="82">
        <v>43781</v>
      </c>
      <c r="F193" s="80" t="s">
        <v>87</v>
      </c>
      <c r="G193" s="80" t="s">
        <v>87</v>
      </c>
      <c r="H193" s="80" t="s">
        <v>87</v>
      </c>
      <c r="I193" s="80" t="s">
        <v>87</v>
      </c>
      <c r="J193" s="80" t="s">
        <v>87</v>
      </c>
      <c r="K193" s="80" t="s">
        <v>87</v>
      </c>
    </row>
    <row r="194" spans="1:11" x14ac:dyDescent="0.25">
      <c r="A194" s="15"/>
      <c r="B194" s="24">
        <v>155</v>
      </c>
      <c r="D194" s="82"/>
      <c r="F194" s="75" t="s">
        <v>13</v>
      </c>
      <c r="G194" s="75" t="s">
        <v>13</v>
      </c>
      <c r="H194" s="75" t="s">
        <v>13</v>
      </c>
      <c r="I194" s="75" t="s">
        <v>13</v>
      </c>
      <c r="J194" s="75" t="s">
        <v>13</v>
      </c>
      <c r="K194" s="75" t="s">
        <v>13</v>
      </c>
    </row>
    <row r="195" spans="1:11" x14ac:dyDescent="0.25">
      <c r="A195" s="15">
        <v>16</v>
      </c>
      <c r="B195" s="24">
        <v>156</v>
      </c>
      <c r="D195" s="82">
        <v>43796</v>
      </c>
      <c r="F195" s="80" t="s">
        <v>87</v>
      </c>
      <c r="G195" s="80" t="s">
        <v>87</v>
      </c>
      <c r="H195" s="80" t="s">
        <v>87</v>
      </c>
      <c r="I195" s="80" t="s">
        <v>87</v>
      </c>
      <c r="J195" s="96" t="s">
        <v>180</v>
      </c>
      <c r="K195" s="80" t="s">
        <v>87</v>
      </c>
    </row>
    <row r="196" spans="1:11" x14ac:dyDescent="0.25">
      <c r="A196" s="15">
        <v>24</v>
      </c>
      <c r="B196" s="24">
        <v>157</v>
      </c>
      <c r="D196" s="82">
        <v>43812</v>
      </c>
      <c r="F196" s="80" t="s">
        <v>87</v>
      </c>
      <c r="G196" s="80" t="s">
        <v>87</v>
      </c>
      <c r="H196" s="80" t="s">
        <v>87</v>
      </c>
      <c r="I196" s="101" t="s">
        <v>191</v>
      </c>
      <c r="J196" s="80" t="s">
        <v>87</v>
      </c>
      <c r="K196" s="80" t="s">
        <v>87</v>
      </c>
    </row>
    <row r="197" spans="1:11" ht="15.75" x14ac:dyDescent="0.25">
      <c r="A197" s="15">
        <v>16</v>
      </c>
      <c r="B197" s="24">
        <v>158</v>
      </c>
      <c r="D197" s="82">
        <v>43816</v>
      </c>
      <c r="F197" s="98" t="s">
        <v>182</v>
      </c>
      <c r="G197" s="98" t="s">
        <v>183</v>
      </c>
      <c r="H197" s="98" t="s">
        <v>183</v>
      </c>
      <c r="I197" s="98" t="s">
        <v>183</v>
      </c>
      <c r="J197" s="97" t="s">
        <v>180</v>
      </c>
      <c r="K197" s="97" t="s">
        <v>184</v>
      </c>
    </row>
    <row r="198" spans="1:11" x14ac:dyDescent="0.25">
      <c r="A198" s="15">
        <v>19</v>
      </c>
      <c r="B198" s="24">
        <v>159</v>
      </c>
      <c r="D198" s="82"/>
      <c r="F198" s="76" t="s">
        <v>77</v>
      </c>
      <c r="G198" s="76" t="s">
        <v>77</v>
      </c>
      <c r="H198" s="76" t="s">
        <v>77</v>
      </c>
      <c r="I198" s="76" t="s">
        <v>77</v>
      </c>
      <c r="J198" s="76" t="s">
        <v>77</v>
      </c>
      <c r="K198" s="76" t="s">
        <v>77</v>
      </c>
    </row>
    <row r="199" spans="1:11" x14ac:dyDescent="0.25">
      <c r="A199" s="15">
        <v>17</v>
      </c>
      <c r="B199" s="24">
        <v>160</v>
      </c>
      <c r="D199" s="82"/>
      <c r="F199" s="76" t="s">
        <v>77</v>
      </c>
      <c r="G199" s="76" t="s">
        <v>77</v>
      </c>
      <c r="H199" s="76" t="s">
        <v>77</v>
      </c>
      <c r="I199" s="76" t="s">
        <v>77</v>
      </c>
      <c r="J199" s="76" t="s">
        <v>77</v>
      </c>
      <c r="K199" s="76" t="s">
        <v>77</v>
      </c>
    </row>
    <row r="200" spans="1:11" x14ac:dyDescent="0.25">
      <c r="A200" s="15">
        <v>21</v>
      </c>
      <c r="B200" s="24">
        <v>161</v>
      </c>
      <c r="D200" s="82">
        <v>43862</v>
      </c>
      <c r="F200" s="80" t="s">
        <v>87</v>
      </c>
      <c r="G200" s="80" t="s">
        <v>87</v>
      </c>
      <c r="H200" s="80" t="s">
        <v>87</v>
      </c>
      <c r="I200" s="80" t="s">
        <v>87</v>
      </c>
      <c r="J200" s="80" t="s">
        <v>87</v>
      </c>
      <c r="K200" s="80" t="s">
        <v>87</v>
      </c>
    </row>
    <row r="201" spans="1:11" x14ac:dyDescent="0.25">
      <c r="B201" s="24">
        <v>162</v>
      </c>
      <c r="F201" s="75" t="s">
        <v>13</v>
      </c>
      <c r="G201" s="75" t="s">
        <v>13</v>
      </c>
      <c r="H201" s="75" t="s">
        <v>13</v>
      </c>
      <c r="I201" s="75" t="s">
        <v>13</v>
      </c>
      <c r="J201" s="75" t="s">
        <v>13</v>
      </c>
      <c r="K201" s="75" t="s">
        <v>13</v>
      </c>
    </row>
    <row r="202" spans="1:11" x14ac:dyDescent="0.25">
      <c r="A202" s="15">
        <v>21</v>
      </c>
      <c r="B202" s="24">
        <v>163</v>
      </c>
      <c r="F202" s="76" t="s">
        <v>77</v>
      </c>
      <c r="G202" s="76" t="s">
        <v>77</v>
      </c>
      <c r="H202" s="76" t="s">
        <v>77</v>
      </c>
      <c r="I202" s="76" t="s">
        <v>77</v>
      </c>
      <c r="J202" s="76" t="s">
        <v>77</v>
      </c>
      <c r="K202" s="76" t="s">
        <v>77</v>
      </c>
    </row>
    <row r="203" spans="1:11" x14ac:dyDescent="0.25">
      <c r="A203">
        <v>17</v>
      </c>
      <c r="B203" s="24">
        <v>164</v>
      </c>
      <c r="F203" s="76" t="s">
        <v>77</v>
      </c>
      <c r="G203" s="76" t="s">
        <v>77</v>
      </c>
      <c r="H203" s="76" t="s">
        <v>77</v>
      </c>
      <c r="I203" s="76" t="s">
        <v>77</v>
      </c>
      <c r="J203" s="76" t="s">
        <v>77</v>
      </c>
      <c r="K203" s="76" t="s">
        <v>77</v>
      </c>
    </row>
    <row r="204" spans="1:11" x14ac:dyDescent="0.25">
      <c r="B204" s="24">
        <v>165</v>
      </c>
      <c r="F204" s="75" t="s">
        <v>13</v>
      </c>
      <c r="G204" s="75" t="s">
        <v>13</v>
      </c>
      <c r="H204" s="75" t="s">
        <v>13</v>
      </c>
      <c r="I204" s="75" t="s">
        <v>13</v>
      </c>
      <c r="J204" s="75" t="s">
        <v>13</v>
      </c>
      <c r="K204" s="75" t="s">
        <v>13</v>
      </c>
    </row>
    <row r="205" spans="1:11" x14ac:dyDescent="0.25">
      <c r="B205" s="24">
        <v>166</v>
      </c>
      <c r="F205" s="75" t="s">
        <v>13</v>
      </c>
      <c r="G205" s="75" t="s">
        <v>13</v>
      </c>
      <c r="H205" s="75" t="s">
        <v>13</v>
      </c>
      <c r="I205" s="75" t="s">
        <v>13</v>
      </c>
      <c r="J205" s="75" t="s">
        <v>13</v>
      </c>
      <c r="K205" s="75" t="s">
        <v>13</v>
      </c>
    </row>
    <row r="206" spans="1:11" x14ac:dyDescent="0.25">
      <c r="B206" s="24">
        <v>167</v>
      </c>
      <c r="F206" s="75" t="s">
        <v>13</v>
      </c>
      <c r="G206" s="75" t="s">
        <v>13</v>
      </c>
      <c r="H206" s="75" t="s">
        <v>13</v>
      </c>
      <c r="I206" s="75" t="s">
        <v>13</v>
      </c>
      <c r="J206" s="75" t="s">
        <v>13</v>
      </c>
      <c r="K206" s="75" t="s">
        <v>13</v>
      </c>
    </row>
    <row r="207" spans="1:11" x14ac:dyDescent="0.25">
      <c r="A207">
        <v>17</v>
      </c>
      <c r="B207" s="24">
        <v>168</v>
      </c>
      <c r="F207" s="76" t="s">
        <v>77</v>
      </c>
      <c r="G207" s="76" t="s">
        <v>77</v>
      </c>
      <c r="H207" s="76" t="s">
        <v>77</v>
      </c>
      <c r="I207" s="76" t="s">
        <v>77</v>
      </c>
      <c r="J207" s="76" t="s">
        <v>77</v>
      </c>
      <c r="K207" s="76" t="s">
        <v>77</v>
      </c>
    </row>
    <row r="208" spans="1:11" x14ac:dyDescent="0.25">
      <c r="A208">
        <v>16</v>
      </c>
      <c r="B208" s="24">
        <v>169</v>
      </c>
      <c r="F208" s="76" t="s">
        <v>77</v>
      </c>
      <c r="G208" s="76" t="s">
        <v>77</v>
      </c>
      <c r="H208" s="76" t="s">
        <v>77</v>
      </c>
      <c r="I208" s="76" t="s">
        <v>77</v>
      </c>
      <c r="J208" s="76" t="s">
        <v>77</v>
      </c>
      <c r="K208" s="76" t="s">
        <v>77</v>
      </c>
    </row>
    <row r="209" spans="1:23" x14ac:dyDescent="0.25">
      <c r="A209" s="15">
        <v>14</v>
      </c>
      <c r="B209" s="24">
        <v>170</v>
      </c>
      <c r="D209" s="82">
        <v>43880</v>
      </c>
      <c r="F209" s="80" t="s">
        <v>87</v>
      </c>
      <c r="G209" s="80" t="s">
        <v>87</v>
      </c>
      <c r="H209" s="80" t="s">
        <v>87</v>
      </c>
      <c r="I209" s="96" t="s">
        <v>176</v>
      </c>
      <c r="J209" s="80" t="s">
        <v>87</v>
      </c>
      <c r="K209" s="80" t="s">
        <v>87</v>
      </c>
    </row>
    <row r="210" spans="1:23" x14ac:dyDescent="0.25">
      <c r="B210" s="24">
        <v>171</v>
      </c>
      <c r="F210" s="75" t="s">
        <v>13</v>
      </c>
      <c r="G210" s="75" t="s">
        <v>13</v>
      </c>
      <c r="H210" s="75" t="s">
        <v>13</v>
      </c>
      <c r="I210" s="75" t="s">
        <v>13</v>
      </c>
      <c r="J210" s="75" t="s">
        <v>13</v>
      </c>
      <c r="K210" s="75" t="s">
        <v>13</v>
      </c>
    </row>
    <row r="211" spans="1:23" x14ac:dyDescent="0.25">
      <c r="A211">
        <v>17</v>
      </c>
      <c r="B211" s="24">
        <v>172</v>
      </c>
      <c r="F211" s="76" t="s">
        <v>77</v>
      </c>
      <c r="G211" s="76" t="s">
        <v>77</v>
      </c>
      <c r="H211" s="76" t="s">
        <v>77</v>
      </c>
      <c r="I211" s="76" t="s">
        <v>77</v>
      </c>
      <c r="J211" s="76" t="s">
        <v>77</v>
      </c>
      <c r="K211" s="76" t="s">
        <v>77</v>
      </c>
    </row>
    <row r="212" spans="1:23" x14ac:dyDescent="0.25">
      <c r="N212" s="44"/>
      <c r="O212" s="44"/>
      <c r="P212" s="44"/>
      <c r="Q212" s="44"/>
      <c r="R212" s="44"/>
      <c r="S212" s="44"/>
      <c r="T212" s="44"/>
      <c r="U212" s="44"/>
      <c r="V212" s="44"/>
      <c r="W212" s="44"/>
    </row>
    <row r="213" spans="1:23" x14ac:dyDescent="0.25">
      <c r="N213" s="44"/>
      <c r="O213" s="44"/>
      <c r="P213" s="44"/>
      <c r="Q213" s="44"/>
      <c r="R213" s="44"/>
      <c r="S213" s="44"/>
      <c r="T213" s="44"/>
      <c r="U213" s="44"/>
      <c r="V213" s="44"/>
      <c r="W213" s="44"/>
    </row>
    <row r="214" spans="1:23" x14ac:dyDescent="0.25">
      <c r="N214" s="44"/>
      <c r="O214" s="44"/>
      <c r="P214" s="44"/>
      <c r="Q214" s="44"/>
      <c r="R214" s="44"/>
      <c r="S214" s="44"/>
      <c r="T214" s="44"/>
      <c r="U214" s="44"/>
      <c r="V214" s="44"/>
      <c r="W214" s="44"/>
    </row>
    <row r="215" spans="1:23" x14ac:dyDescent="0.25">
      <c r="N215" s="44"/>
      <c r="O215" s="44"/>
      <c r="P215" s="44"/>
      <c r="Q215" s="44"/>
      <c r="R215" s="44"/>
      <c r="S215" s="44"/>
      <c r="T215" s="44"/>
      <c r="U215" s="44"/>
      <c r="V215" s="44"/>
      <c r="W215" s="44"/>
    </row>
    <row r="216" spans="1:23" x14ac:dyDescent="0.25">
      <c r="N216" s="44"/>
      <c r="O216" s="44"/>
      <c r="P216" s="44"/>
      <c r="Q216" s="44"/>
      <c r="R216" s="44"/>
      <c r="S216" s="44"/>
      <c r="T216" s="44"/>
      <c r="U216" s="44"/>
      <c r="V216" s="44"/>
      <c r="W216" s="44"/>
    </row>
    <row r="217" spans="1:23" x14ac:dyDescent="0.25">
      <c r="A217" t="s">
        <v>194</v>
      </c>
      <c r="B217" s="80" t="s">
        <v>195</v>
      </c>
      <c r="C217" s="101" t="s">
        <v>196</v>
      </c>
      <c r="D217" t="s">
        <v>198</v>
      </c>
      <c r="E217" s="107" t="s">
        <v>116</v>
      </c>
      <c r="F217" s="108" t="s">
        <v>117</v>
      </c>
      <c r="G217" s="109" t="s">
        <v>118</v>
      </c>
      <c r="H217" s="106" t="s">
        <v>197</v>
      </c>
      <c r="N217" s="44"/>
      <c r="O217" s="44"/>
      <c r="P217" s="43"/>
      <c r="Q217" s="44"/>
      <c r="R217" s="44"/>
      <c r="S217" s="43"/>
      <c r="T217" s="44"/>
      <c r="U217" s="44"/>
      <c r="V217" s="44"/>
      <c r="W217" s="44"/>
    </row>
    <row r="218" spans="1:23" x14ac:dyDescent="0.25">
      <c r="A218" t="s">
        <v>78</v>
      </c>
      <c r="B218" t="s">
        <v>79</v>
      </c>
      <c r="C218" t="s">
        <v>80</v>
      </c>
      <c r="D218" t="s">
        <v>199</v>
      </c>
      <c r="E218" t="s">
        <v>101</v>
      </c>
      <c r="F218" t="s">
        <v>84</v>
      </c>
      <c r="G218" t="s">
        <v>85</v>
      </c>
      <c r="H218" t="s">
        <v>200</v>
      </c>
      <c r="N218" s="44"/>
      <c r="O218" s="44"/>
      <c r="P218" s="43"/>
      <c r="Q218" s="44"/>
      <c r="R218" s="44"/>
      <c r="S218" s="43"/>
      <c r="T218" s="44"/>
      <c r="U218" s="44"/>
      <c r="V218" s="44"/>
      <c r="W218" s="44"/>
    </row>
    <row r="219" spans="1:23" x14ac:dyDescent="0.25">
      <c r="A219" t="s">
        <v>4</v>
      </c>
      <c r="B219" s="44">
        <f>CountCcolor(F10:F211,$B$217)</f>
        <v>121</v>
      </c>
      <c r="C219" s="44">
        <f>CountCcolor(F10:F211,$C$217)</f>
        <v>5</v>
      </c>
      <c r="D219">
        <f>SUM(B219:C219)</f>
        <v>126</v>
      </c>
      <c r="E219" s="44">
        <f>CountCcolor(F10:F211,$E$217)</f>
        <v>4</v>
      </c>
      <c r="F219" s="44">
        <f>CountCcolor(F10:F211,$F$217)</f>
        <v>12</v>
      </c>
      <c r="G219" s="44">
        <f>CountCcolor(F10:F211,$G$217)</f>
        <v>19</v>
      </c>
      <c r="H219" s="44">
        <f>CountCcolor(H10:H211,$H$217)</f>
        <v>41</v>
      </c>
      <c r="N219" s="44"/>
      <c r="O219" s="44"/>
      <c r="P219" s="43"/>
      <c r="Q219" s="44"/>
      <c r="R219" s="44"/>
      <c r="S219" s="43"/>
      <c r="T219" s="44"/>
      <c r="U219" s="44"/>
      <c r="V219" s="44"/>
      <c r="W219" s="44"/>
    </row>
    <row r="220" spans="1:23" x14ac:dyDescent="0.25">
      <c r="A220" t="s">
        <v>86</v>
      </c>
      <c r="B220">
        <f>CountCcolor(G10:G211,$B$217)</f>
        <v>96</v>
      </c>
      <c r="C220">
        <f>CountCcolor(G10:G211,$C$217)</f>
        <v>6</v>
      </c>
      <c r="D220">
        <f t="shared" ref="D220:D224" si="8">SUM(B220:C220)</f>
        <v>102</v>
      </c>
      <c r="E220">
        <f>CountCcolor(G10:G211,$E$217)</f>
        <v>21</v>
      </c>
      <c r="F220">
        <f>CountCcolor(G10:G211,$F$217)</f>
        <v>19</v>
      </c>
      <c r="G220">
        <f>CountCcolor(G10:G211,$G$217)</f>
        <v>19</v>
      </c>
      <c r="H220">
        <f>CountCcolor(G10:G211,$H$217)</f>
        <v>41</v>
      </c>
      <c r="N220" s="44"/>
      <c r="O220" s="44"/>
      <c r="P220" s="43"/>
      <c r="Q220" s="44"/>
      <c r="R220" s="44"/>
      <c r="S220" s="43"/>
      <c r="T220" s="44"/>
      <c r="U220" s="44"/>
      <c r="V220" s="44"/>
      <c r="W220" s="44"/>
    </row>
    <row r="221" spans="1:23" x14ac:dyDescent="0.25">
      <c r="A221" t="s">
        <v>6</v>
      </c>
      <c r="B221" s="44">
        <f>CountCcolor(H10:H211,$B$217)</f>
        <v>49</v>
      </c>
      <c r="C221">
        <f>CountCcolor(H10:H211,$C$217)</f>
        <v>39</v>
      </c>
      <c r="D221">
        <f t="shared" si="8"/>
        <v>88</v>
      </c>
      <c r="E221">
        <f>CountCcolor(H10:H211,$E$217)</f>
        <v>31</v>
      </c>
      <c r="F221">
        <f>CountCcolor(H10:H211,$F$217)</f>
        <v>23</v>
      </c>
      <c r="G221">
        <f>CountCcolor(H10:H211,G$217)</f>
        <v>19</v>
      </c>
      <c r="H221">
        <f>CountCcolor(H10:H211,H$217)</f>
        <v>41</v>
      </c>
      <c r="N221" s="44"/>
      <c r="O221" s="44"/>
      <c r="P221" s="43"/>
      <c r="Q221" s="44"/>
      <c r="R221" s="44"/>
      <c r="S221" s="43"/>
      <c r="T221" s="44"/>
      <c r="U221" s="44"/>
      <c r="V221" s="44"/>
      <c r="W221" s="44"/>
    </row>
    <row r="222" spans="1:23" x14ac:dyDescent="0.25">
      <c r="A222" t="s">
        <v>7</v>
      </c>
      <c r="B222">
        <f>CountCcolor(I10:I211,$B$217)</f>
        <v>77</v>
      </c>
      <c r="C222">
        <f>CountCcolor(I10:I211,$C$217)</f>
        <v>16</v>
      </c>
      <c r="D222">
        <f t="shared" si="8"/>
        <v>93</v>
      </c>
      <c r="E222">
        <f>CountCcolor(I10:I211,$E$217)</f>
        <v>17</v>
      </c>
      <c r="F222">
        <f>CountCcolor(I10:I211,$F$217)</f>
        <v>31</v>
      </c>
      <c r="G222">
        <f>CountCcolor(I10:I211,$G$217)</f>
        <v>20</v>
      </c>
      <c r="H222">
        <f>CountCcolor(I10:I211,$H$217)</f>
        <v>41</v>
      </c>
      <c r="N222" s="44"/>
      <c r="O222" s="44"/>
      <c r="P222" s="43"/>
      <c r="Q222" s="44"/>
      <c r="R222" s="44"/>
      <c r="S222" s="43"/>
      <c r="T222" s="44"/>
      <c r="U222" s="44"/>
      <c r="V222" s="44"/>
      <c r="W222" s="44"/>
    </row>
    <row r="223" spans="1:23" x14ac:dyDescent="0.25">
      <c r="A223" t="s">
        <v>8</v>
      </c>
      <c r="B223" s="44">
        <f>CountCcolor(J10:J211,$B$217)</f>
        <v>86</v>
      </c>
      <c r="C223">
        <f>CountCcolor(J10:J211,$C$217)</f>
        <v>17</v>
      </c>
      <c r="D223">
        <f t="shared" si="8"/>
        <v>103</v>
      </c>
      <c r="E223">
        <f>CountCcolor(J10:J211,$E$217)</f>
        <v>12</v>
      </c>
      <c r="F223">
        <f>CountCcolor(J10:J211,$F$217)</f>
        <v>26</v>
      </c>
      <c r="G223">
        <f>CountCcolor(J10:J211,$G$217)</f>
        <v>20</v>
      </c>
      <c r="H223">
        <f>CountCcolor(I10:I211,$H$217)</f>
        <v>41</v>
      </c>
      <c r="N223" s="44"/>
      <c r="O223" s="44"/>
      <c r="P223" s="43"/>
      <c r="Q223" s="44"/>
      <c r="R223" s="44"/>
      <c r="S223" s="43"/>
      <c r="T223" s="44"/>
      <c r="U223" s="44"/>
      <c r="V223" s="44"/>
      <c r="W223" s="44"/>
    </row>
    <row r="224" spans="1:23" x14ac:dyDescent="0.25">
      <c r="A224" t="s">
        <v>9</v>
      </c>
      <c r="B224">
        <f>CountCcolor(K10:K211,$B$217)</f>
        <v>77</v>
      </c>
      <c r="C224">
        <f>CountCcolor(K10:K211,$C$217)</f>
        <v>22</v>
      </c>
      <c r="D224">
        <f t="shared" si="8"/>
        <v>99</v>
      </c>
      <c r="E224">
        <f>CountCcolor(K10:K211,$E$217)</f>
        <v>15</v>
      </c>
      <c r="F224">
        <f>CountCcolor(K10:K211,$F$217)</f>
        <v>27</v>
      </c>
      <c r="G224">
        <f>CountCcolor(K10:K211,$G$217)</f>
        <v>20</v>
      </c>
      <c r="H224">
        <f>CountCcolor(I10:I211,$H$217)</f>
        <v>41</v>
      </c>
      <c r="N224" s="44"/>
      <c r="O224" s="44"/>
      <c r="P224" s="43"/>
      <c r="Q224" s="44"/>
      <c r="R224" s="44"/>
      <c r="S224" s="43"/>
      <c r="T224" s="44"/>
      <c r="U224" s="44"/>
      <c r="V224" s="44"/>
      <c r="W224" s="44"/>
    </row>
    <row r="225" spans="1:23" x14ac:dyDescent="0.25">
      <c r="A225" s="43"/>
      <c r="B225" s="44"/>
      <c r="C225" s="44"/>
      <c r="N225" s="44"/>
      <c r="O225" s="44"/>
      <c r="P225" s="43"/>
      <c r="Q225" s="44"/>
      <c r="R225" s="44"/>
      <c r="S225" s="43"/>
      <c r="T225" s="44"/>
      <c r="U225" s="44"/>
      <c r="V225" s="44"/>
      <c r="W225" s="44"/>
    </row>
    <row r="226" spans="1:23" x14ac:dyDescent="0.25">
      <c r="A226" s="43"/>
      <c r="C226" s="44"/>
      <c r="N226" s="44"/>
      <c r="O226" s="44"/>
      <c r="P226" s="43"/>
      <c r="Q226" s="44"/>
      <c r="R226" s="44"/>
      <c r="S226" s="43"/>
      <c r="T226" s="44"/>
      <c r="U226" s="44"/>
      <c r="V226" s="44"/>
      <c r="W226" s="44"/>
    </row>
    <row r="227" spans="1:23" x14ac:dyDescent="0.25">
      <c r="A227" s="43"/>
      <c r="C227" s="44"/>
      <c r="N227" s="44"/>
      <c r="O227" s="44"/>
      <c r="P227" s="43"/>
      <c r="Q227" s="44"/>
      <c r="R227" s="44"/>
      <c r="S227" s="43"/>
      <c r="T227" s="44"/>
      <c r="U227" s="44"/>
      <c r="V227" s="44"/>
      <c r="W227" s="44"/>
    </row>
    <row r="228" spans="1:23" x14ac:dyDescent="0.25">
      <c r="A228" s="43"/>
      <c r="B228" s="44"/>
      <c r="C228" s="44"/>
      <c r="N228" s="44"/>
      <c r="O228" s="44"/>
      <c r="P228" s="43"/>
      <c r="Q228" s="44"/>
      <c r="R228" s="44"/>
      <c r="S228" s="43"/>
      <c r="T228" s="44"/>
      <c r="U228" s="44"/>
      <c r="V228" s="44"/>
      <c r="W228" s="44"/>
    </row>
    <row r="229" spans="1:23" x14ac:dyDescent="0.25">
      <c r="A229" s="43"/>
      <c r="B229" s="44"/>
      <c r="C229" s="44"/>
      <c r="N229" s="44"/>
      <c r="O229" s="44"/>
      <c r="P229" s="43"/>
      <c r="Q229" s="44"/>
      <c r="R229" s="44"/>
      <c r="S229" s="43"/>
      <c r="T229" s="44"/>
      <c r="U229" s="44"/>
      <c r="V229" s="44"/>
      <c r="W229" s="44"/>
    </row>
    <row r="230" spans="1:23" x14ac:dyDescent="0.25">
      <c r="N230" s="44"/>
      <c r="O230" s="44"/>
      <c r="P230" s="43"/>
      <c r="Q230" s="44"/>
      <c r="R230" s="44"/>
      <c r="S230" s="43"/>
      <c r="T230" s="44"/>
      <c r="U230" s="44"/>
      <c r="V230" s="44"/>
      <c r="W230" s="44"/>
    </row>
    <row r="231" spans="1:23" x14ac:dyDescent="0.25">
      <c r="N231" s="44"/>
      <c r="O231" s="44"/>
      <c r="P231" s="43"/>
      <c r="Q231" s="44"/>
      <c r="R231" s="44"/>
      <c r="S231" s="43"/>
      <c r="T231" s="44"/>
      <c r="U231" s="44"/>
      <c r="V231" s="44"/>
      <c r="W231" s="44"/>
    </row>
    <row r="232" spans="1:23" x14ac:dyDescent="0.25">
      <c r="N232" s="44"/>
      <c r="O232" s="44"/>
      <c r="P232" s="43"/>
      <c r="Q232" s="44"/>
      <c r="R232" s="44"/>
      <c r="S232" s="43"/>
      <c r="T232" s="44"/>
      <c r="U232" s="44"/>
      <c r="V232" s="44"/>
      <c r="W232" s="44"/>
    </row>
    <row r="233" spans="1:23" x14ac:dyDescent="0.25">
      <c r="N233" s="44"/>
      <c r="O233" s="44"/>
      <c r="P233" s="43"/>
      <c r="Q233" s="44"/>
      <c r="R233" s="44"/>
      <c r="S233" s="43"/>
      <c r="T233" s="44"/>
      <c r="U233" s="44"/>
      <c r="V233" s="44"/>
      <c r="W233" s="44"/>
    </row>
    <row r="234" spans="1:23" x14ac:dyDescent="0.25">
      <c r="N234" s="44"/>
      <c r="O234" s="44"/>
      <c r="P234" s="43"/>
      <c r="Q234" s="44"/>
      <c r="R234" s="44"/>
      <c r="S234" s="43"/>
      <c r="T234" s="44"/>
      <c r="U234" s="44"/>
      <c r="V234" s="44"/>
      <c r="W234" s="44"/>
    </row>
    <row r="235" spans="1:23" x14ac:dyDescent="0.25">
      <c r="N235" s="44"/>
      <c r="O235" s="44"/>
      <c r="P235" s="43"/>
      <c r="Q235" s="44"/>
      <c r="R235" s="44"/>
      <c r="S235" s="43"/>
      <c r="T235" s="44"/>
      <c r="U235" s="44"/>
      <c r="V235" s="44"/>
      <c r="W235" s="44"/>
    </row>
    <row r="236" spans="1:23" x14ac:dyDescent="0.25">
      <c r="N236" s="44"/>
      <c r="O236" s="44"/>
      <c r="P236" s="43"/>
      <c r="Q236" s="44"/>
      <c r="R236" s="44"/>
      <c r="S236" s="43"/>
      <c r="T236" s="44"/>
      <c r="U236" s="44"/>
      <c r="V236" s="44"/>
      <c r="W236" s="44"/>
    </row>
    <row r="237" spans="1:23" x14ac:dyDescent="0.25">
      <c r="N237" s="44"/>
      <c r="O237" s="44"/>
      <c r="P237" s="43"/>
      <c r="Q237" s="44"/>
      <c r="R237" s="44"/>
      <c r="S237" s="43"/>
      <c r="T237" s="44"/>
      <c r="U237" s="44"/>
      <c r="V237" s="44"/>
      <c r="W237" s="44"/>
    </row>
    <row r="238" spans="1:23" x14ac:dyDescent="0.25">
      <c r="A238" s="46"/>
      <c r="B238" s="44"/>
      <c r="C238" s="44"/>
      <c r="N238" s="44"/>
      <c r="O238" s="44"/>
      <c r="P238" s="43"/>
      <c r="Q238" s="44"/>
      <c r="R238" s="44"/>
      <c r="S238" s="43"/>
      <c r="T238" s="44"/>
      <c r="U238" s="44"/>
      <c r="V238" s="44"/>
      <c r="W238" s="44"/>
    </row>
    <row r="239" spans="1:23" x14ac:dyDescent="0.25">
      <c r="A239" s="43"/>
      <c r="B239" s="44"/>
      <c r="C239" s="44"/>
      <c r="N239" s="44"/>
      <c r="O239" s="44"/>
      <c r="P239" s="43"/>
      <c r="Q239" s="44"/>
      <c r="R239" s="44"/>
      <c r="S239" s="43"/>
      <c r="T239" s="44"/>
      <c r="U239" s="44"/>
      <c r="V239" s="44"/>
      <c r="W239" s="44"/>
    </row>
    <row r="240" spans="1:23" x14ac:dyDescent="0.25">
      <c r="A240" s="43"/>
      <c r="B240" s="44"/>
      <c r="C240" s="44"/>
      <c r="N240" s="44"/>
      <c r="O240" s="44"/>
      <c r="P240" s="43"/>
      <c r="Q240" s="44"/>
      <c r="R240" s="44"/>
      <c r="S240" s="43"/>
      <c r="T240" s="44"/>
      <c r="U240" s="44"/>
      <c r="V240" s="44"/>
      <c r="W240" s="44"/>
    </row>
    <row r="241" spans="1:23" x14ac:dyDescent="0.25">
      <c r="A241" s="43"/>
      <c r="B241" s="44"/>
      <c r="C241" s="44"/>
      <c r="N241" s="44"/>
      <c r="O241" s="44"/>
      <c r="P241" s="43"/>
      <c r="Q241" s="44"/>
      <c r="R241" s="44"/>
      <c r="S241" s="43"/>
      <c r="T241" s="44"/>
      <c r="U241" s="44"/>
      <c r="V241" s="44"/>
      <c r="W241" s="44"/>
    </row>
    <row r="242" spans="1:23" x14ac:dyDescent="0.25">
      <c r="A242" s="43"/>
      <c r="B242" s="44"/>
      <c r="C242" s="44"/>
      <c r="N242" s="44"/>
      <c r="O242" s="44"/>
      <c r="P242" s="43"/>
      <c r="Q242" s="44"/>
      <c r="R242" s="44"/>
      <c r="S242" s="43"/>
      <c r="T242" s="44"/>
      <c r="U242" s="44"/>
      <c r="V242" s="44"/>
      <c r="W242" s="44"/>
    </row>
    <row r="243" spans="1:23" x14ac:dyDescent="0.25">
      <c r="A243" s="43"/>
      <c r="B243" s="44"/>
      <c r="C243" s="44"/>
      <c r="N243" s="44"/>
      <c r="O243" s="44"/>
      <c r="P243" s="43"/>
      <c r="Q243" s="44"/>
      <c r="R243" s="44"/>
      <c r="S243" s="43"/>
      <c r="T243" s="44"/>
      <c r="U243" s="44"/>
      <c r="V243" s="44"/>
      <c r="W243" s="44"/>
    </row>
    <row r="244" spans="1:23" x14ac:dyDescent="0.25">
      <c r="A244" s="43"/>
      <c r="B244" s="44"/>
      <c r="C244" s="44"/>
      <c r="N244" s="44"/>
      <c r="O244" s="44"/>
      <c r="P244" s="43"/>
      <c r="Q244" s="44"/>
      <c r="R244" s="44"/>
      <c r="S244" s="43"/>
      <c r="T244" s="44"/>
      <c r="U244" s="44"/>
      <c r="V244" s="44"/>
      <c r="W244" s="44"/>
    </row>
    <row r="245" spans="1:23" x14ac:dyDescent="0.25">
      <c r="A245" s="43"/>
      <c r="B245" s="44"/>
      <c r="C245" s="44"/>
      <c r="N245" s="44"/>
      <c r="O245" s="44"/>
      <c r="P245" s="43"/>
      <c r="Q245" s="44"/>
      <c r="R245" s="44"/>
      <c r="S245" s="43"/>
      <c r="T245" s="44"/>
      <c r="U245" s="44"/>
      <c r="V245" s="44"/>
      <c r="W245" s="44"/>
    </row>
    <row r="246" spans="1:23" x14ac:dyDescent="0.25">
      <c r="A246" s="43"/>
      <c r="B246" s="44"/>
      <c r="C246" s="44"/>
      <c r="N246" s="44"/>
      <c r="O246" s="44"/>
      <c r="P246" s="43"/>
      <c r="Q246" s="44"/>
      <c r="R246" s="44"/>
      <c r="S246" s="43"/>
      <c r="T246" s="44"/>
      <c r="U246" s="44"/>
      <c r="V246" s="44"/>
      <c r="W246" s="44"/>
    </row>
    <row r="247" spans="1:23" x14ac:dyDescent="0.25">
      <c r="A247" s="43"/>
      <c r="B247" s="44"/>
      <c r="C247" s="44"/>
      <c r="N247" s="44"/>
      <c r="O247" s="44"/>
      <c r="P247" s="43"/>
      <c r="Q247" s="44"/>
      <c r="R247" s="44"/>
      <c r="S247" s="43"/>
      <c r="T247" s="44"/>
      <c r="U247" s="44"/>
      <c r="V247" s="44"/>
      <c r="W247" s="44"/>
    </row>
    <row r="248" spans="1:23" x14ac:dyDescent="0.25">
      <c r="A248" s="43"/>
      <c r="B248" s="44"/>
      <c r="C248" s="44"/>
      <c r="N248" s="44"/>
      <c r="O248" s="44"/>
      <c r="P248" s="43"/>
      <c r="Q248" s="44"/>
      <c r="R248" s="44"/>
      <c r="S248" s="43"/>
      <c r="T248" s="44"/>
      <c r="U248" s="44"/>
      <c r="V248" s="44"/>
      <c r="W248" s="44"/>
    </row>
    <row r="249" spans="1:23" x14ac:dyDescent="0.25">
      <c r="A249" s="43"/>
      <c r="B249" s="44"/>
      <c r="C249" s="44"/>
      <c r="N249" s="44"/>
      <c r="O249" s="44"/>
      <c r="P249" s="43"/>
      <c r="Q249" s="44"/>
      <c r="R249" s="44"/>
      <c r="S249" s="43"/>
      <c r="T249" s="44"/>
      <c r="U249" s="44"/>
      <c r="V249" s="44"/>
      <c r="W249" s="44"/>
    </row>
    <row r="250" spans="1:23" x14ac:dyDescent="0.25">
      <c r="A250" s="43"/>
      <c r="B250" s="44"/>
      <c r="C250" s="44"/>
      <c r="N250" s="44"/>
      <c r="O250" s="44"/>
      <c r="P250" s="43"/>
      <c r="Q250" s="44"/>
      <c r="R250" s="44"/>
      <c r="S250" s="43"/>
      <c r="T250" s="44"/>
      <c r="U250" s="44"/>
      <c r="V250" s="44"/>
      <c r="W250" s="44"/>
    </row>
    <row r="251" spans="1:23" x14ac:dyDescent="0.25">
      <c r="A251" s="43"/>
      <c r="B251" s="44"/>
      <c r="C251" s="44"/>
      <c r="N251" s="44"/>
      <c r="O251" s="44"/>
      <c r="P251" s="43"/>
      <c r="Q251" s="44"/>
      <c r="R251" s="44"/>
      <c r="S251" s="43"/>
      <c r="T251" s="44"/>
      <c r="U251" s="44"/>
      <c r="V251" s="44"/>
      <c r="W251" s="44"/>
    </row>
    <row r="252" spans="1:23" x14ac:dyDescent="0.25">
      <c r="A252" s="43"/>
      <c r="B252" s="44"/>
      <c r="C252" s="44"/>
      <c r="N252" s="44"/>
      <c r="O252" s="44"/>
      <c r="P252" s="43"/>
      <c r="Q252" s="44"/>
      <c r="R252" s="44"/>
      <c r="S252" s="43"/>
      <c r="T252" s="44"/>
      <c r="U252" s="44"/>
      <c r="V252" s="44"/>
      <c r="W252" s="44"/>
    </row>
    <row r="253" spans="1:23" x14ac:dyDescent="0.25">
      <c r="A253" s="43"/>
      <c r="B253" s="44"/>
      <c r="C253" s="44"/>
      <c r="N253" s="44"/>
      <c r="O253" s="44"/>
      <c r="P253" s="43"/>
      <c r="Q253" s="44"/>
      <c r="R253" s="44"/>
      <c r="S253" s="43"/>
      <c r="T253" s="44"/>
      <c r="U253" s="44"/>
      <c r="V253" s="44"/>
      <c r="W253" s="44"/>
    </row>
    <row r="254" spans="1:23" x14ac:dyDescent="0.25">
      <c r="A254" s="43"/>
      <c r="B254" s="44"/>
      <c r="C254" s="44"/>
      <c r="N254" s="44"/>
      <c r="O254" s="44"/>
      <c r="P254" s="43"/>
      <c r="Q254" s="44"/>
      <c r="R254" s="44"/>
      <c r="S254" s="43"/>
      <c r="T254" s="44"/>
      <c r="U254" s="44"/>
      <c r="V254" s="44"/>
      <c r="W254" s="44"/>
    </row>
    <row r="255" spans="1:23" x14ac:dyDescent="0.25">
      <c r="A255" s="43"/>
      <c r="B255" s="44"/>
      <c r="C255" s="44"/>
      <c r="N255" s="44"/>
      <c r="O255" s="44"/>
      <c r="P255" s="43"/>
      <c r="Q255" s="44"/>
      <c r="R255" s="44"/>
      <c r="S255" s="43"/>
      <c r="T255" s="44"/>
      <c r="U255" s="44"/>
      <c r="V255" s="44"/>
      <c r="W255" s="44"/>
    </row>
    <row r="256" spans="1:23" x14ac:dyDescent="0.25">
      <c r="A256" s="43"/>
      <c r="B256" s="44"/>
      <c r="C256" s="44"/>
      <c r="N256" s="44"/>
      <c r="O256" s="44"/>
      <c r="P256" s="43"/>
      <c r="Q256" s="44"/>
      <c r="R256" s="44"/>
      <c r="S256" s="43"/>
      <c r="T256" s="44"/>
      <c r="U256" s="44"/>
      <c r="V256" s="44"/>
      <c r="W256" s="44"/>
    </row>
    <row r="257" spans="1:23" x14ac:dyDescent="0.25">
      <c r="A257" s="43"/>
      <c r="B257" s="44"/>
      <c r="C257" s="44"/>
      <c r="N257" s="44"/>
      <c r="O257" s="44"/>
      <c r="P257" s="43"/>
      <c r="Q257" s="44"/>
      <c r="R257" s="44"/>
      <c r="S257" s="43"/>
      <c r="T257" s="44"/>
      <c r="U257" s="44"/>
      <c r="V257" s="44"/>
      <c r="W257" s="44"/>
    </row>
    <row r="258" spans="1:23" x14ac:dyDescent="0.25">
      <c r="A258" s="43"/>
      <c r="B258" s="44"/>
      <c r="C258" s="44"/>
      <c r="N258" s="44"/>
      <c r="O258" s="44"/>
      <c r="P258" s="43"/>
      <c r="Q258" s="44"/>
      <c r="R258" s="44"/>
      <c r="S258" s="43"/>
      <c r="T258" s="44"/>
      <c r="U258" s="44"/>
      <c r="V258" s="44"/>
      <c r="W258" s="44"/>
    </row>
    <row r="259" spans="1:23" x14ac:dyDescent="0.25">
      <c r="A259" s="43"/>
      <c r="B259" s="44"/>
      <c r="C259" s="44"/>
      <c r="N259" s="44"/>
      <c r="O259" s="44"/>
      <c r="P259" s="43"/>
      <c r="Q259" s="44"/>
      <c r="R259" s="44"/>
      <c r="S259" s="43"/>
      <c r="T259" s="44"/>
      <c r="U259" s="44"/>
      <c r="V259" s="44"/>
      <c r="W259" s="44"/>
    </row>
    <row r="260" spans="1:23" x14ac:dyDescent="0.25">
      <c r="A260" s="43"/>
      <c r="B260" s="44"/>
      <c r="C260" s="44"/>
      <c r="N260" s="44"/>
      <c r="O260" s="44"/>
      <c r="P260" s="43"/>
      <c r="Q260" s="44"/>
      <c r="R260" s="44"/>
      <c r="S260" s="43"/>
      <c r="T260" s="44"/>
      <c r="U260" s="44"/>
      <c r="V260" s="44"/>
      <c r="W260" s="44"/>
    </row>
    <row r="261" spans="1:23" x14ac:dyDescent="0.25">
      <c r="A261" s="43"/>
      <c r="B261" s="44"/>
      <c r="C261" s="44"/>
      <c r="N261" s="44"/>
      <c r="O261" s="44"/>
      <c r="P261" s="43"/>
      <c r="Q261" s="44"/>
      <c r="R261" s="44"/>
      <c r="S261" s="43"/>
      <c r="T261" s="44"/>
      <c r="U261" s="44"/>
      <c r="V261" s="44"/>
      <c r="W261" s="44"/>
    </row>
    <row r="262" spans="1:23" x14ac:dyDescent="0.25">
      <c r="A262" s="43"/>
      <c r="B262" s="44"/>
      <c r="C262" s="44"/>
      <c r="N262" s="44"/>
      <c r="O262" s="44"/>
      <c r="P262" s="43"/>
      <c r="Q262" s="44"/>
      <c r="R262" s="44"/>
      <c r="S262" s="43"/>
      <c r="T262" s="44"/>
      <c r="U262" s="44"/>
      <c r="V262" s="44"/>
      <c r="W262" s="44"/>
    </row>
    <row r="263" spans="1:23" x14ac:dyDescent="0.25">
      <c r="A263" s="43"/>
      <c r="B263" s="44"/>
      <c r="C263" s="44"/>
      <c r="N263" s="44"/>
      <c r="O263" s="44"/>
      <c r="P263" s="45"/>
      <c r="Q263" s="44"/>
      <c r="R263" s="44"/>
      <c r="S263" s="43"/>
      <c r="T263" s="44"/>
      <c r="U263" s="44"/>
      <c r="V263" s="44"/>
      <c r="W263" s="44"/>
    </row>
    <row r="264" spans="1:23" x14ac:dyDescent="0.25">
      <c r="A264" s="43"/>
      <c r="B264" s="44"/>
      <c r="C264" s="44"/>
      <c r="N264" s="44"/>
      <c r="O264" s="44"/>
      <c r="P264" s="43"/>
      <c r="Q264" s="44"/>
      <c r="R264" s="44"/>
      <c r="S264" s="43"/>
      <c r="T264" s="44"/>
      <c r="U264" s="44"/>
      <c r="V264" s="44"/>
      <c r="W264" s="44"/>
    </row>
    <row r="265" spans="1:23" x14ac:dyDescent="0.25">
      <c r="A265" s="43"/>
      <c r="B265" s="44"/>
      <c r="C265" s="44"/>
      <c r="N265" s="44"/>
      <c r="O265" s="44"/>
      <c r="P265" s="43"/>
      <c r="Q265" s="44"/>
      <c r="R265" s="44"/>
      <c r="S265" s="43"/>
      <c r="T265" s="44"/>
      <c r="U265" s="44"/>
      <c r="V265" s="44"/>
      <c r="W265" s="44"/>
    </row>
    <row r="266" spans="1:23" x14ac:dyDescent="0.25">
      <c r="A266" s="43"/>
      <c r="B266" s="44"/>
      <c r="C266" s="44"/>
      <c r="N266" s="44"/>
      <c r="O266" s="44"/>
      <c r="P266" s="43"/>
      <c r="Q266" s="44"/>
      <c r="R266" s="44"/>
      <c r="S266" s="43"/>
      <c r="T266" s="44"/>
      <c r="U266" s="44"/>
      <c r="V266" s="44"/>
      <c r="W266" s="44"/>
    </row>
    <row r="267" spans="1:23" x14ac:dyDescent="0.25">
      <c r="A267" s="43"/>
      <c r="B267" s="44"/>
      <c r="C267" s="44"/>
      <c r="N267" s="44"/>
      <c r="O267" s="44"/>
      <c r="P267" s="43"/>
      <c r="Q267" s="44"/>
      <c r="R267" s="44"/>
      <c r="S267" s="43"/>
      <c r="T267" s="44"/>
      <c r="U267" s="44"/>
      <c r="V267" s="44"/>
      <c r="W267" s="44"/>
    </row>
    <row r="268" spans="1:23" x14ac:dyDescent="0.25">
      <c r="A268" s="43"/>
      <c r="B268" s="44"/>
      <c r="C268" s="44"/>
      <c r="N268" s="44"/>
      <c r="O268" s="44"/>
      <c r="P268" s="43"/>
      <c r="Q268" s="44"/>
      <c r="R268" s="44"/>
      <c r="S268" s="43"/>
      <c r="T268" s="44"/>
      <c r="U268" s="44"/>
      <c r="V268" s="44"/>
      <c r="W268" s="44"/>
    </row>
    <row r="269" spans="1:23" x14ac:dyDescent="0.25">
      <c r="A269" s="43"/>
      <c r="B269" s="44"/>
      <c r="C269" s="44"/>
      <c r="N269" s="44"/>
      <c r="O269" s="44"/>
      <c r="P269" s="45"/>
      <c r="Q269" s="44"/>
      <c r="R269" s="44"/>
      <c r="S269" s="43"/>
      <c r="T269" s="44"/>
      <c r="U269" s="44"/>
      <c r="V269" s="44"/>
      <c r="W269" s="44"/>
    </row>
    <row r="270" spans="1:23" x14ac:dyDescent="0.25">
      <c r="A270" s="43"/>
      <c r="B270" s="44"/>
      <c r="C270" s="44"/>
      <c r="N270" s="44"/>
      <c r="O270" s="44"/>
      <c r="P270" s="43"/>
      <c r="Q270" s="44"/>
      <c r="R270" s="44"/>
      <c r="S270" s="43"/>
      <c r="T270" s="44"/>
      <c r="U270" s="44"/>
      <c r="V270" s="44"/>
      <c r="W270" s="44"/>
    </row>
    <row r="271" spans="1:23" x14ac:dyDescent="0.25">
      <c r="A271" s="43"/>
      <c r="B271" s="44"/>
      <c r="C271" s="44"/>
      <c r="N271" s="44"/>
      <c r="O271" s="44"/>
      <c r="P271" s="43"/>
      <c r="Q271" s="44"/>
      <c r="R271" s="44"/>
      <c r="S271" s="43"/>
      <c r="T271" s="44"/>
      <c r="U271" s="44"/>
      <c r="V271" s="44"/>
      <c r="W271" s="44"/>
    </row>
    <row r="272" spans="1:23" x14ac:dyDescent="0.25">
      <c r="A272" s="43"/>
      <c r="B272" s="44"/>
      <c r="C272" s="44"/>
      <c r="N272" s="44"/>
      <c r="O272" s="44"/>
      <c r="P272" s="43"/>
      <c r="Q272" s="44"/>
      <c r="R272" s="44"/>
      <c r="S272" s="43"/>
      <c r="T272" s="44"/>
      <c r="U272" s="44"/>
      <c r="V272" s="44"/>
      <c r="W272" s="44"/>
    </row>
    <row r="273" spans="1:23" x14ac:dyDescent="0.25">
      <c r="A273" s="43"/>
      <c r="B273" s="44"/>
      <c r="C273" s="44"/>
      <c r="N273" s="44"/>
      <c r="O273" s="44"/>
      <c r="P273" s="43"/>
      <c r="Q273" s="44"/>
      <c r="R273" s="44"/>
      <c r="S273" s="43"/>
      <c r="T273" s="44"/>
      <c r="U273" s="44"/>
      <c r="V273" s="44"/>
      <c r="W273" s="44"/>
    </row>
    <row r="274" spans="1:23" x14ac:dyDescent="0.25">
      <c r="A274" s="43"/>
      <c r="B274" s="44"/>
      <c r="C274" s="44"/>
      <c r="N274" s="44"/>
      <c r="O274" s="44"/>
      <c r="P274" s="43"/>
      <c r="Q274" s="44"/>
      <c r="R274" s="44"/>
      <c r="S274" s="43"/>
      <c r="T274" s="44"/>
      <c r="U274" s="44"/>
      <c r="V274" s="44"/>
      <c r="W274" s="44"/>
    </row>
    <row r="275" spans="1:23" x14ac:dyDescent="0.25">
      <c r="A275" s="43"/>
      <c r="B275" s="44"/>
      <c r="C275" s="44"/>
      <c r="N275" s="44"/>
      <c r="O275" s="44"/>
      <c r="P275" s="43"/>
      <c r="Q275" s="44"/>
      <c r="R275" s="44"/>
      <c r="S275" s="43"/>
      <c r="T275" s="44"/>
      <c r="U275" s="44"/>
      <c r="V275" s="44"/>
      <c r="W275" s="44"/>
    </row>
    <row r="276" spans="1:23" x14ac:dyDescent="0.25">
      <c r="A276" s="43"/>
      <c r="B276" s="44"/>
      <c r="C276" s="44"/>
      <c r="N276" s="44"/>
      <c r="O276" s="44"/>
      <c r="P276" s="43"/>
      <c r="Q276" s="44"/>
      <c r="R276" s="44"/>
      <c r="S276" s="43"/>
      <c r="T276" s="44"/>
      <c r="U276" s="44"/>
      <c r="V276" s="44"/>
      <c r="W276" s="44"/>
    </row>
    <row r="277" spans="1:23" x14ac:dyDescent="0.25">
      <c r="A277" s="43"/>
      <c r="B277" s="44"/>
      <c r="C277" s="44"/>
      <c r="N277" s="44"/>
      <c r="O277" s="44"/>
      <c r="P277" s="43"/>
      <c r="Q277" s="44"/>
      <c r="R277" s="44"/>
      <c r="S277" s="43"/>
      <c r="T277" s="44"/>
      <c r="U277" s="44"/>
      <c r="V277" s="44"/>
      <c r="W277" s="44"/>
    </row>
    <row r="278" spans="1:23" x14ac:dyDescent="0.25">
      <c r="A278" s="43"/>
      <c r="B278" s="44"/>
      <c r="C278" s="44"/>
      <c r="N278" s="44"/>
      <c r="O278" s="44"/>
      <c r="P278" s="43"/>
      <c r="Q278" s="44"/>
      <c r="R278" s="44"/>
      <c r="S278" s="43"/>
      <c r="T278" s="44"/>
      <c r="U278" s="44"/>
      <c r="V278" s="44"/>
      <c r="W278" s="44"/>
    </row>
    <row r="279" spans="1:23" x14ac:dyDescent="0.25">
      <c r="A279" s="45"/>
      <c r="B279" s="44"/>
      <c r="C279" s="44"/>
      <c r="N279" s="44"/>
      <c r="O279" s="44"/>
      <c r="P279" s="45"/>
      <c r="Q279" s="44"/>
      <c r="R279" s="44"/>
      <c r="S279" s="43"/>
      <c r="T279" s="44"/>
      <c r="U279" s="44"/>
      <c r="V279" s="44"/>
      <c r="W279" s="44"/>
    </row>
    <row r="280" spans="1:23" x14ac:dyDescent="0.25">
      <c r="A280" s="43"/>
      <c r="B280" s="44"/>
      <c r="C280" s="44"/>
      <c r="N280" s="44"/>
      <c r="O280" s="44"/>
      <c r="P280" s="44"/>
      <c r="Q280" s="44"/>
      <c r="R280" s="44"/>
      <c r="S280" s="43"/>
      <c r="T280" s="44"/>
      <c r="U280" s="44"/>
      <c r="V280" s="44"/>
      <c r="W280" s="44"/>
    </row>
    <row r="281" spans="1:23" x14ac:dyDescent="0.25">
      <c r="A281" s="43"/>
      <c r="B281" s="44"/>
      <c r="C281" s="44"/>
      <c r="N281" s="44"/>
      <c r="O281" s="44"/>
      <c r="P281" s="44"/>
      <c r="Q281" s="44"/>
      <c r="R281" s="44"/>
      <c r="S281" s="45"/>
      <c r="T281" s="44"/>
      <c r="U281" s="44"/>
      <c r="V281" s="44"/>
      <c r="W281" s="44"/>
    </row>
    <row r="282" spans="1:23" x14ac:dyDescent="0.25">
      <c r="A282" s="43"/>
      <c r="B282" s="44"/>
      <c r="C282" s="44"/>
      <c r="N282" s="44"/>
      <c r="O282" s="44"/>
      <c r="P282" s="44"/>
      <c r="Q282" s="44"/>
      <c r="R282" s="44"/>
      <c r="S282" s="43"/>
      <c r="T282" s="44"/>
      <c r="U282" s="44"/>
      <c r="V282" s="44"/>
      <c r="W282" s="44"/>
    </row>
    <row r="283" spans="1:23" x14ac:dyDescent="0.25">
      <c r="A283" s="43"/>
      <c r="B283" s="44"/>
      <c r="C283" s="44"/>
      <c r="N283" s="44"/>
      <c r="O283" s="44"/>
      <c r="P283" s="44"/>
      <c r="Q283" s="44"/>
      <c r="R283" s="44"/>
      <c r="S283" s="43"/>
      <c r="T283" s="44"/>
      <c r="U283" s="44"/>
      <c r="V283" s="44"/>
      <c r="W283" s="44"/>
    </row>
    <row r="284" spans="1:23" x14ac:dyDescent="0.25">
      <c r="A284" s="43"/>
      <c r="B284" s="44"/>
      <c r="C284" s="44"/>
      <c r="N284" s="44"/>
      <c r="O284" s="44"/>
      <c r="P284" s="44"/>
      <c r="Q284" s="44"/>
      <c r="R284" s="44"/>
      <c r="S284" s="43"/>
      <c r="T284" s="44"/>
      <c r="U284" s="44"/>
      <c r="V284" s="44"/>
      <c r="W284" s="44"/>
    </row>
    <row r="285" spans="1:23" x14ac:dyDescent="0.25">
      <c r="A285" s="43"/>
      <c r="B285" s="44"/>
      <c r="C285" s="44"/>
      <c r="N285" s="44"/>
      <c r="O285" s="44"/>
      <c r="P285" s="44"/>
      <c r="Q285" s="44"/>
      <c r="R285" s="44"/>
      <c r="S285" s="43"/>
      <c r="T285" s="44"/>
      <c r="U285" s="44"/>
      <c r="V285" s="44"/>
      <c r="W285" s="44"/>
    </row>
    <row r="286" spans="1:23" x14ac:dyDescent="0.25">
      <c r="A286" s="45"/>
      <c r="B286" s="44"/>
      <c r="C286" s="44"/>
      <c r="N286" s="44"/>
      <c r="O286" s="44"/>
      <c r="P286" s="44"/>
      <c r="Q286" s="44"/>
      <c r="R286" s="44"/>
      <c r="S286" s="45"/>
      <c r="T286" s="44"/>
      <c r="U286" s="44"/>
      <c r="V286" s="44"/>
      <c r="W286" s="44"/>
    </row>
    <row r="287" spans="1:23" x14ac:dyDescent="0.25">
      <c r="A287" s="43"/>
      <c r="B287" s="44"/>
      <c r="C287" s="44"/>
      <c r="N287" s="44"/>
      <c r="O287" s="44"/>
      <c r="P287" s="44"/>
      <c r="Q287" s="44"/>
      <c r="R287" s="44"/>
      <c r="S287" s="43"/>
      <c r="T287" s="44"/>
      <c r="U287" s="44"/>
      <c r="V287" s="44"/>
      <c r="W287" s="44"/>
    </row>
    <row r="288" spans="1:23" x14ac:dyDescent="0.25">
      <c r="A288" s="43"/>
      <c r="B288" s="44"/>
      <c r="C288" s="44"/>
      <c r="N288" s="44"/>
      <c r="O288" s="44"/>
      <c r="P288" s="44"/>
      <c r="Q288" s="44"/>
      <c r="R288" s="44"/>
      <c r="S288" s="43"/>
      <c r="T288" s="44"/>
      <c r="U288" s="44"/>
      <c r="V288" s="44"/>
      <c r="W288" s="44"/>
    </row>
    <row r="289" spans="1:23" x14ac:dyDescent="0.25">
      <c r="A289" s="43"/>
      <c r="B289" s="44"/>
      <c r="C289" s="44"/>
      <c r="N289" s="44"/>
      <c r="O289" s="44"/>
      <c r="P289" s="44"/>
      <c r="Q289" s="44"/>
      <c r="R289" s="44"/>
      <c r="S289" s="43"/>
      <c r="T289" s="44"/>
      <c r="U289" s="44"/>
      <c r="V289" s="44"/>
      <c r="W289" s="44"/>
    </row>
    <row r="290" spans="1:23" x14ac:dyDescent="0.25">
      <c r="A290" s="43"/>
      <c r="B290" s="44"/>
      <c r="C290" s="44"/>
      <c r="N290" s="44"/>
      <c r="O290" s="44"/>
      <c r="P290" s="44"/>
      <c r="Q290" s="44"/>
      <c r="R290" s="44"/>
      <c r="S290" s="43"/>
      <c r="T290" s="44"/>
      <c r="U290" s="44"/>
      <c r="V290" s="44"/>
      <c r="W290" s="44"/>
    </row>
    <row r="291" spans="1:23" x14ac:dyDescent="0.25">
      <c r="A291" s="43"/>
      <c r="B291" s="44"/>
      <c r="C291" s="44"/>
      <c r="N291" s="44"/>
      <c r="O291" s="44"/>
      <c r="P291" s="44"/>
      <c r="Q291" s="44"/>
      <c r="R291" s="44"/>
      <c r="S291" s="43"/>
      <c r="T291" s="44"/>
      <c r="U291" s="44"/>
      <c r="V291" s="44"/>
      <c r="W291" s="44"/>
    </row>
    <row r="292" spans="1:23" x14ac:dyDescent="0.25">
      <c r="A292" s="45"/>
      <c r="B292" s="44"/>
      <c r="C292" s="44"/>
      <c r="N292" s="44"/>
      <c r="O292" s="44"/>
      <c r="P292" s="44"/>
      <c r="Q292" s="44"/>
      <c r="R292" s="44"/>
      <c r="S292" s="45"/>
      <c r="T292" s="44"/>
      <c r="U292" s="44"/>
      <c r="V292" s="44"/>
      <c r="W292" s="44"/>
    </row>
    <row r="293" spans="1:23" x14ac:dyDescent="0.25">
      <c r="A293" s="45"/>
      <c r="B293" s="44"/>
      <c r="C293" s="44"/>
      <c r="N293" s="44"/>
      <c r="O293" s="44"/>
      <c r="P293" s="44"/>
      <c r="Q293" s="44"/>
      <c r="R293" s="44"/>
      <c r="S293" s="43"/>
      <c r="T293" s="44"/>
      <c r="U293" s="44"/>
      <c r="V293" s="44"/>
      <c r="W293" s="44"/>
    </row>
    <row r="294" spans="1:23" x14ac:dyDescent="0.25">
      <c r="A294" s="43"/>
      <c r="B294" s="44"/>
      <c r="C294" s="44"/>
      <c r="N294" s="44"/>
      <c r="O294" s="44"/>
      <c r="P294" s="44"/>
      <c r="Q294" s="44"/>
      <c r="R294" s="44"/>
      <c r="S294" s="43"/>
      <c r="T294" s="44"/>
      <c r="U294" s="44"/>
      <c r="V294" s="44"/>
      <c r="W294" s="44"/>
    </row>
    <row r="295" spans="1:23" x14ac:dyDescent="0.25">
      <c r="A295" s="43"/>
      <c r="B295" s="44"/>
      <c r="C295" s="44"/>
      <c r="N295" s="44"/>
      <c r="O295" s="44"/>
      <c r="P295" s="44"/>
      <c r="Q295" s="44"/>
      <c r="R295" s="44"/>
      <c r="S295" s="43"/>
      <c r="T295" s="44"/>
      <c r="U295" s="44"/>
      <c r="V295" s="44"/>
      <c r="W295" s="44"/>
    </row>
    <row r="296" spans="1:23" x14ac:dyDescent="0.25">
      <c r="A296" s="45"/>
      <c r="B296" s="44"/>
      <c r="C296" s="44"/>
      <c r="N296" s="44"/>
      <c r="O296" s="44"/>
      <c r="P296" s="44"/>
      <c r="Q296" s="44"/>
      <c r="R296" s="44"/>
      <c r="S296" s="43"/>
      <c r="T296" s="44"/>
      <c r="U296" s="44"/>
      <c r="V296" s="44"/>
      <c r="W296" s="44"/>
    </row>
    <row r="297" spans="1:23" x14ac:dyDescent="0.25">
      <c r="A297" s="45"/>
      <c r="B297" s="44"/>
      <c r="C297" s="44"/>
      <c r="N297" s="44"/>
      <c r="O297" s="44"/>
      <c r="P297" s="44"/>
      <c r="Q297" s="44"/>
      <c r="R297" s="44"/>
      <c r="S297" s="43"/>
      <c r="T297" s="44"/>
      <c r="U297" s="44"/>
      <c r="V297" s="44"/>
      <c r="W297" s="44"/>
    </row>
    <row r="298" spans="1:23" x14ac:dyDescent="0.25">
      <c r="A298" s="43"/>
      <c r="B298" s="44"/>
      <c r="C298" s="44"/>
      <c r="N298" s="44"/>
      <c r="O298" s="44"/>
      <c r="P298" s="44"/>
      <c r="Q298" s="44"/>
      <c r="R298" s="44"/>
      <c r="S298" s="45"/>
      <c r="T298" s="44"/>
      <c r="U298" s="44"/>
      <c r="V298" s="44"/>
      <c r="W298" s="44"/>
    </row>
    <row r="299" spans="1:23" x14ac:dyDescent="0.25">
      <c r="A299" s="43"/>
      <c r="B299" s="44"/>
      <c r="C299" s="44"/>
      <c r="N299" s="44"/>
      <c r="O299" s="44"/>
      <c r="P299" s="44"/>
      <c r="Q299" s="44"/>
      <c r="R299" s="44"/>
      <c r="S299" s="45"/>
      <c r="T299" s="44"/>
      <c r="U299" s="44"/>
      <c r="V299" s="44"/>
      <c r="W299" s="44"/>
    </row>
    <row r="300" spans="1:23" x14ac:dyDescent="0.25">
      <c r="A300" s="43"/>
      <c r="B300" s="44"/>
      <c r="C300" s="44"/>
      <c r="N300" s="44"/>
      <c r="O300" s="44"/>
      <c r="P300" s="44"/>
      <c r="Q300" s="44"/>
      <c r="R300" s="44"/>
      <c r="S300" s="44"/>
      <c r="T300" s="44"/>
      <c r="U300" s="44"/>
      <c r="V300" s="44"/>
      <c r="W300" s="44"/>
    </row>
  </sheetData>
  <autoFilter ref="A9:K173">
    <sortState ref="A10:K190">
      <sortCondition ref="B9:B172"/>
    </sortState>
  </autoFilter>
  <mergeCells count="6">
    <mergeCell ref="A7:C7"/>
    <mergeCell ref="A1:K1"/>
    <mergeCell ref="A5:C5"/>
    <mergeCell ref="A3:C3"/>
    <mergeCell ref="A4:C4"/>
    <mergeCell ref="A6:C6"/>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95"/>
  <sheetViews>
    <sheetView topLeftCell="A85" workbookViewId="0">
      <selection activeCell="S1" sqref="S1:S28"/>
    </sheetView>
  </sheetViews>
  <sheetFormatPr defaultRowHeight="15" x14ac:dyDescent="0.25"/>
  <sheetData>
    <row r="1" spans="1:19" ht="45.75" x14ac:dyDescent="0.25">
      <c r="A1" s="50" t="s">
        <v>87</v>
      </c>
      <c r="C1" s="1" t="s">
        <v>87</v>
      </c>
      <c r="E1" s="1" t="s">
        <v>87</v>
      </c>
      <c r="G1" s="1" t="s">
        <v>87</v>
      </c>
      <c r="I1" s="1" t="s">
        <v>87</v>
      </c>
      <c r="K1" s="7" t="s">
        <v>87</v>
      </c>
      <c r="M1" s="9" t="s">
        <v>20</v>
      </c>
      <c r="O1" s="2" t="s">
        <v>12</v>
      </c>
      <c r="Q1" s="2" t="s">
        <v>15</v>
      </c>
      <c r="S1" s="76" t="s">
        <v>77</v>
      </c>
    </row>
    <row r="2" spans="1:19" ht="34.5" x14ac:dyDescent="0.25">
      <c r="A2" s="50" t="s">
        <v>87</v>
      </c>
      <c r="C2" s="1" t="s">
        <v>87</v>
      </c>
      <c r="E2" s="1" t="s">
        <v>87</v>
      </c>
      <c r="G2" s="1" t="s">
        <v>87</v>
      </c>
      <c r="I2" s="1" t="s">
        <v>87</v>
      </c>
      <c r="K2" s="7" t="s">
        <v>87</v>
      </c>
      <c r="M2" s="3" t="s">
        <v>17</v>
      </c>
      <c r="O2" s="2" t="s">
        <v>12</v>
      </c>
      <c r="Q2" s="2" t="s">
        <v>12</v>
      </c>
      <c r="S2" s="76" t="s">
        <v>77</v>
      </c>
    </row>
    <row r="3" spans="1:19" ht="79.5" x14ac:dyDescent="0.25">
      <c r="A3" s="50" t="s">
        <v>87</v>
      </c>
      <c r="C3" s="1" t="s">
        <v>87</v>
      </c>
      <c r="E3" s="1" t="s">
        <v>87</v>
      </c>
      <c r="G3" s="1" t="s">
        <v>87</v>
      </c>
      <c r="I3" s="1" t="s">
        <v>87</v>
      </c>
      <c r="K3" s="7" t="s">
        <v>87</v>
      </c>
      <c r="M3" s="3" t="s">
        <v>10</v>
      </c>
      <c r="O3" s="2" t="s">
        <v>14</v>
      </c>
      <c r="Q3" s="2" t="s">
        <v>12</v>
      </c>
      <c r="S3" s="76" t="s">
        <v>77</v>
      </c>
    </row>
    <row r="4" spans="1:19" ht="135.75" x14ac:dyDescent="0.25">
      <c r="A4" s="50" t="s">
        <v>87</v>
      </c>
      <c r="C4" s="1" t="s">
        <v>87</v>
      </c>
      <c r="E4" s="62" t="s">
        <v>90</v>
      </c>
      <c r="G4" s="1" t="s">
        <v>87</v>
      </c>
      <c r="I4" s="1" t="s">
        <v>87</v>
      </c>
      <c r="K4" s="7" t="s">
        <v>87</v>
      </c>
      <c r="M4" s="3" t="s">
        <v>10</v>
      </c>
      <c r="O4" s="2" t="s">
        <v>14</v>
      </c>
      <c r="Q4" s="55" t="s">
        <v>23</v>
      </c>
      <c r="S4" s="76" t="s">
        <v>77</v>
      </c>
    </row>
    <row r="5" spans="1:19" ht="68.25" x14ac:dyDescent="0.25">
      <c r="A5" s="50" t="s">
        <v>87</v>
      </c>
      <c r="C5" s="1" t="s">
        <v>87</v>
      </c>
      <c r="E5" s="1" t="s">
        <v>87</v>
      </c>
      <c r="G5" s="1" t="s">
        <v>87</v>
      </c>
      <c r="I5" s="1" t="s">
        <v>87</v>
      </c>
      <c r="K5" s="7" t="s">
        <v>87</v>
      </c>
      <c r="M5" s="3" t="s">
        <v>10</v>
      </c>
      <c r="O5" s="55" t="s">
        <v>98</v>
      </c>
      <c r="Q5" s="2" t="s">
        <v>24</v>
      </c>
      <c r="S5" s="76" t="s">
        <v>77</v>
      </c>
    </row>
    <row r="6" spans="1:19" ht="68.25" x14ac:dyDescent="0.25">
      <c r="A6" s="50" t="s">
        <v>87</v>
      </c>
      <c r="C6" s="1" t="s">
        <v>87</v>
      </c>
      <c r="E6" s="1" t="s">
        <v>87</v>
      </c>
      <c r="G6" s="1" t="s">
        <v>87</v>
      </c>
      <c r="I6" s="1" t="s">
        <v>87</v>
      </c>
      <c r="K6" s="7" t="s">
        <v>87</v>
      </c>
      <c r="M6" s="3" t="s">
        <v>10</v>
      </c>
      <c r="O6" s="2" t="s">
        <v>24</v>
      </c>
      <c r="Q6" s="2" t="s">
        <v>12</v>
      </c>
      <c r="S6" s="76" t="s">
        <v>77</v>
      </c>
    </row>
    <row r="7" spans="1:19" ht="68.25" x14ac:dyDescent="0.25">
      <c r="A7" s="50" t="s">
        <v>87</v>
      </c>
      <c r="C7" s="1" t="s">
        <v>87</v>
      </c>
      <c r="E7" s="1" t="s">
        <v>87</v>
      </c>
      <c r="G7" s="1" t="s">
        <v>87</v>
      </c>
      <c r="I7" s="1" t="s">
        <v>87</v>
      </c>
      <c r="K7" s="7" t="s">
        <v>87</v>
      </c>
      <c r="M7" s="3" t="s">
        <v>10</v>
      </c>
      <c r="O7" s="2" t="s">
        <v>26</v>
      </c>
      <c r="Q7" s="2" t="s">
        <v>28</v>
      </c>
      <c r="S7" s="76" t="s">
        <v>77</v>
      </c>
    </row>
    <row r="8" spans="1:19" ht="57" x14ac:dyDescent="0.25">
      <c r="A8" s="50" t="s">
        <v>87</v>
      </c>
      <c r="C8" s="1" t="s">
        <v>87</v>
      </c>
      <c r="E8" s="1" t="s">
        <v>87</v>
      </c>
      <c r="G8" s="1" t="s">
        <v>87</v>
      </c>
      <c r="I8" s="1" t="s">
        <v>87</v>
      </c>
      <c r="K8" s="7" t="s">
        <v>87</v>
      </c>
      <c r="M8" s="9" t="s">
        <v>32</v>
      </c>
      <c r="O8" s="2" t="s">
        <v>12</v>
      </c>
      <c r="Q8" s="2" t="s">
        <v>12</v>
      </c>
      <c r="S8" s="76" t="s">
        <v>77</v>
      </c>
    </row>
    <row r="9" spans="1:19" ht="79.5" x14ac:dyDescent="0.25">
      <c r="A9" s="50" t="s">
        <v>87</v>
      </c>
      <c r="C9" s="1" t="s">
        <v>87</v>
      </c>
      <c r="E9" s="1" t="s">
        <v>87</v>
      </c>
      <c r="G9" s="1" t="s">
        <v>87</v>
      </c>
      <c r="I9" s="1" t="s">
        <v>87</v>
      </c>
      <c r="K9" s="7" t="s">
        <v>87</v>
      </c>
      <c r="M9" s="3" t="s">
        <v>10</v>
      </c>
      <c r="O9" s="2" t="s">
        <v>14</v>
      </c>
      <c r="Q9" s="2" t="s">
        <v>44</v>
      </c>
      <c r="S9" s="76" t="s">
        <v>77</v>
      </c>
    </row>
    <row r="10" spans="1:19" ht="79.5" x14ac:dyDescent="0.25">
      <c r="A10" s="50" t="s">
        <v>87</v>
      </c>
      <c r="C10" s="1" t="s">
        <v>87</v>
      </c>
      <c r="E10" s="1" t="s">
        <v>87</v>
      </c>
      <c r="G10" s="1" t="s">
        <v>87</v>
      </c>
      <c r="I10" s="1" t="s">
        <v>87</v>
      </c>
      <c r="K10" s="7" t="s">
        <v>87</v>
      </c>
      <c r="M10" s="3" t="s">
        <v>10</v>
      </c>
      <c r="O10" s="2" t="s">
        <v>14</v>
      </c>
      <c r="Q10" s="2" t="s">
        <v>28</v>
      </c>
      <c r="S10" s="76" t="s">
        <v>77</v>
      </c>
    </row>
    <row r="11" spans="1:19" ht="68.25" x14ac:dyDescent="0.25">
      <c r="A11" s="50" t="s">
        <v>87</v>
      </c>
      <c r="C11" s="1" t="s">
        <v>87</v>
      </c>
      <c r="E11" s="1" t="s">
        <v>87</v>
      </c>
      <c r="G11" s="1" t="s">
        <v>87</v>
      </c>
      <c r="I11" s="1" t="s">
        <v>87</v>
      </c>
      <c r="K11" s="7" t="s">
        <v>87</v>
      </c>
      <c r="M11" s="3" t="s">
        <v>10</v>
      </c>
      <c r="O11" s="2" t="s">
        <v>28</v>
      </c>
      <c r="Q11" s="2" t="s">
        <v>12</v>
      </c>
      <c r="S11" s="76" t="s">
        <v>77</v>
      </c>
    </row>
    <row r="12" spans="1:19" ht="68.25" x14ac:dyDescent="0.25">
      <c r="A12" s="50" t="s">
        <v>87</v>
      </c>
      <c r="C12" s="1" t="s">
        <v>87</v>
      </c>
      <c r="E12" s="1" t="s">
        <v>87</v>
      </c>
      <c r="G12" s="1" t="s">
        <v>87</v>
      </c>
      <c r="I12" s="1" t="s">
        <v>87</v>
      </c>
      <c r="K12" s="7" t="s">
        <v>87</v>
      </c>
      <c r="M12" s="3" t="s">
        <v>10</v>
      </c>
      <c r="O12" s="2" t="s">
        <v>33</v>
      </c>
      <c r="Q12" s="2" t="s">
        <v>12</v>
      </c>
      <c r="S12" s="76" t="s">
        <v>77</v>
      </c>
    </row>
    <row r="13" spans="1:19" ht="79.5" x14ac:dyDescent="0.25">
      <c r="A13" s="50" t="s">
        <v>87</v>
      </c>
      <c r="C13" s="1" t="s">
        <v>87</v>
      </c>
      <c r="E13" s="1" t="s">
        <v>87</v>
      </c>
      <c r="G13" s="1" t="s">
        <v>87</v>
      </c>
      <c r="I13" s="1" t="s">
        <v>87</v>
      </c>
      <c r="K13" s="7" t="s">
        <v>87</v>
      </c>
      <c r="M13" s="9" t="s">
        <v>37</v>
      </c>
      <c r="O13" s="2" t="s">
        <v>14</v>
      </c>
      <c r="Q13" s="2" t="s">
        <v>70</v>
      </c>
      <c r="S13" s="76" t="s">
        <v>77</v>
      </c>
    </row>
    <row r="14" spans="1:19" ht="68.25" x14ac:dyDescent="0.25">
      <c r="A14" s="50" t="s">
        <v>87</v>
      </c>
      <c r="C14" s="1" t="s">
        <v>87</v>
      </c>
      <c r="E14" s="32" t="s">
        <v>87</v>
      </c>
      <c r="G14" s="1" t="s">
        <v>87</v>
      </c>
      <c r="I14" s="1" t="s">
        <v>87</v>
      </c>
      <c r="K14" s="7" t="s">
        <v>87</v>
      </c>
      <c r="M14" s="3" t="s">
        <v>10</v>
      </c>
      <c r="O14" s="2" t="s">
        <v>12</v>
      </c>
      <c r="Q14" s="55" t="s">
        <v>93</v>
      </c>
      <c r="S14" s="76" t="s">
        <v>77</v>
      </c>
    </row>
    <row r="15" spans="1:19" ht="79.5" x14ac:dyDescent="0.25">
      <c r="A15" s="50" t="s">
        <v>87</v>
      </c>
      <c r="C15" s="1" t="s">
        <v>87</v>
      </c>
      <c r="E15" s="42" t="s">
        <v>87</v>
      </c>
      <c r="G15" s="1" t="s">
        <v>87</v>
      </c>
      <c r="I15" s="1" t="s">
        <v>87</v>
      </c>
      <c r="K15" s="7" t="s">
        <v>87</v>
      </c>
      <c r="M15" s="9" t="s">
        <v>37</v>
      </c>
      <c r="O15" s="2" t="s">
        <v>14</v>
      </c>
      <c r="Q15" s="78" t="s">
        <v>143</v>
      </c>
      <c r="S15" s="76" t="s">
        <v>77</v>
      </c>
    </row>
    <row r="16" spans="1:19" ht="79.5" x14ac:dyDescent="0.25">
      <c r="A16" s="50" t="s">
        <v>87</v>
      </c>
      <c r="C16" s="1" t="s">
        <v>87</v>
      </c>
      <c r="E16" s="1" t="s">
        <v>87</v>
      </c>
      <c r="G16" s="1" t="s">
        <v>87</v>
      </c>
      <c r="I16" s="1" t="s">
        <v>87</v>
      </c>
      <c r="K16" s="7" t="s">
        <v>87</v>
      </c>
      <c r="M16" s="3" t="s">
        <v>10</v>
      </c>
      <c r="O16" s="2" t="s">
        <v>14</v>
      </c>
      <c r="Q16" s="78" t="s">
        <v>146</v>
      </c>
      <c r="S16" s="76" t="s">
        <v>77</v>
      </c>
    </row>
    <row r="17" spans="1:19" ht="79.5" x14ac:dyDescent="0.25">
      <c r="A17" s="50" t="s">
        <v>87</v>
      </c>
      <c r="C17" s="1" t="s">
        <v>87</v>
      </c>
      <c r="E17" s="1" t="s">
        <v>87</v>
      </c>
      <c r="G17" s="1" t="s">
        <v>87</v>
      </c>
      <c r="I17" s="1" t="s">
        <v>87</v>
      </c>
      <c r="K17" s="7" t="s">
        <v>87</v>
      </c>
      <c r="M17" s="3" t="s">
        <v>10</v>
      </c>
      <c r="O17" s="2" t="s">
        <v>14</v>
      </c>
      <c r="Q17" s="78" t="s">
        <v>130</v>
      </c>
      <c r="S17" s="76" t="s">
        <v>77</v>
      </c>
    </row>
    <row r="18" spans="1:19" ht="57" x14ac:dyDescent="0.25">
      <c r="A18" s="50" t="s">
        <v>87</v>
      </c>
      <c r="C18" s="1" t="s">
        <v>87</v>
      </c>
      <c r="E18" s="1" t="s">
        <v>87</v>
      </c>
      <c r="G18" s="1" t="s">
        <v>87</v>
      </c>
      <c r="I18" s="1" t="s">
        <v>87</v>
      </c>
      <c r="K18" s="7" t="s">
        <v>87</v>
      </c>
      <c r="M18" s="3" t="s">
        <v>55</v>
      </c>
      <c r="O18" s="2" t="s">
        <v>45</v>
      </c>
      <c r="Q18" s="78" t="s">
        <v>121</v>
      </c>
      <c r="S18" s="76" t="s">
        <v>77</v>
      </c>
    </row>
    <row r="19" spans="1:19" ht="124.5" x14ac:dyDescent="0.25">
      <c r="A19" s="50" t="s">
        <v>87</v>
      </c>
      <c r="C19" s="1" t="s">
        <v>87</v>
      </c>
      <c r="E19" s="72" t="s">
        <v>87</v>
      </c>
      <c r="G19" s="1" t="s">
        <v>87</v>
      </c>
      <c r="I19" s="1" t="s">
        <v>87</v>
      </c>
      <c r="K19" s="7" t="s">
        <v>87</v>
      </c>
      <c r="M19" s="33" t="s">
        <v>112</v>
      </c>
      <c r="O19" s="2" t="s">
        <v>28</v>
      </c>
      <c r="Q19" s="78" t="s">
        <v>47</v>
      </c>
      <c r="S19" s="76" t="s">
        <v>77</v>
      </c>
    </row>
    <row r="20" spans="1:19" ht="158.25" x14ac:dyDescent="0.25">
      <c r="A20" s="50" t="s">
        <v>87</v>
      </c>
      <c r="C20" s="1" t="s">
        <v>87</v>
      </c>
      <c r="E20" s="1" t="s">
        <v>87</v>
      </c>
      <c r="G20" s="1" t="s">
        <v>87</v>
      </c>
      <c r="I20" s="1" t="s">
        <v>87</v>
      </c>
      <c r="K20" s="7" t="s">
        <v>87</v>
      </c>
      <c r="M20" s="3" t="s">
        <v>68</v>
      </c>
      <c r="O20" s="2" t="s">
        <v>12</v>
      </c>
      <c r="Q20" s="78" t="s">
        <v>130</v>
      </c>
      <c r="S20" s="76" t="s">
        <v>77</v>
      </c>
    </row>
    <row r="21" spans="1:19" ht="68.25" x14ac:dyDescent="0.25">
      <c r="A21" s="50" t="s">
        <v>87</v>
      </c>
      <c r="C21" s="1" t="s">
        <v>87</v>
      </c>
      <c r="E21" s="1" t="s">
        <v>87</v>
      </c>
      <c r="G21" s="1" t="s">
        <v>87</v>
      </c>
      <c r="I21" s="1" t="s">
        <v>87</v>
      </c>
      <c r="K21" s="7" t="s">
        <v>87</v>
      </c>
      <c r="M21" s="33" t="s">
        <v>72</v>
      </c>
      <c r="O21" s="2" t="s">
        <v>12</v>
      </c>
      <c r="S21" s="76" t="s">
        <v>77</v>
      </c>
    </row>
    <row r="22" spans="1:19" ht="68.25" x14ac:dyDescent="0.25">
      <c r="A22" s="50" t="s">
        <v>87</v>
      </c>
      <c r="C22" s="1" t="s">
        <v>87</v>
      </c>
      <c r="E22" s="1" t="s">
        <v>87</v>
      </c>
      <c r="G22" s="1" t="s">
        <v>87</v>
      </c>
      <c r="I22" s="1" t="s">
        <v>87</v>
      </c>
      <c r="K22" s="7" t="s">
        <v>87</v>
      </c>
      <c r="M22" s="33" t="s">
        <v>72</v>
      </c>
      <c r="O22" s="2" t="s">
        <v>70</v>
      </c>
      <c r="S22" s="76" t="s">
        <v>77</v>
      </c>
    </row>
    <row r="23" spans="1:19" ht="68.25" x14ac:dyDescent="0.25">
      <c r="A23" s="50" t="s">
        <v>87</v>
      </c>
      <c r="C23" s="1" t="s">
        <v>87</v>
      </c>
      <c r="E23" s="1" t="s">
        <v>87</v>
      </c>
      <c r="G23" s="1" t="s">
        <v>87</v>
      </c>
      <c r="I23" s="1"/>
      <c r="K23" s="7" t="s">
        <v>87</v>
      </c>
      <c r="M23" s="33" t="s">
        <v>72</v>
      </c>
      <c r="O23" s="55" t="s">
        <v>91</v>
      </c>
      <c r="S23" s="76" t="s">
        <v>77</v>
      </c>
    </row>
    <row r="24" spans="1:19" ht="23.25" x14ac:dyDescent="0.25">
      <c r="A24" s="50" t="s">
        <v>87</v>
      </c>
      <c r="C24" s="1" t="s">
        <v>87</v>
      </c>
      <c r="E24" s="1" t="s">
        <v>87</v>
      </c>
      <c r="G24" s="1" t="s">
        <v>87</v>
      </c>
      <c r="I24" s="1" t="s">
        <v>87</v>
      </c>
      <c r="K24" s="7" t="s">
        <v>87</v>
      </c>
      <c r="O24" s="78" t="s">
        <v>143</v>
      </c>
      <c r="S24" s="76" t="s">
        <v>77</v>
      </c>
    </row>
    <row r="25" spans="1:19" ht="45.75" x14ac:dyDescent="0.25">
      <c r="A25" s="50" t="s">
        <v>87</v>
      </c>
      <c r="C25" s="1" t="s">
        <v>87</v>
      </c>
      <c r="E25" s="42" t="s">
        <v>87</v>
      </c>
      <c r="G25" s="1" t="s">
        <v>87</v>
      </c>
      <c r="I25" s="1" t="s">
        <v>87</v>
      </c>
      <c r="K25" s="7" t="s">
        <v>87</v>
      </c>
      <c r="O25" s="78" t="s">
        <v>147</v>
      </c>
      <c r="S25" s="76" t="s">
        <v>77</v>
      </c>
    </row>
    <row r="26" spans="1:19" ht="23.25" x14ac:dyDescent="0.25">
      <c r="A26" s="50" t="s">
        <v>87</v>
      </c>
      <c r="C26" s="1" t="s">
        <v>87</v>
      </c>
      <c r="E26" s="42" t="s">
        <v>87</v>
      </c>
      <c r="G26" s="1" t="s">
        <v>87</v>
      </c>
      <c r="I26" s="1" t="s">
        <v>87</v>
      </c>
      <c r="K26" s="7" t="s">
        <v>87</v>
      </c>
      <c r="O26" s="78" t="s">
        <v>130</v>
      </c>
      <c r="S26" s="76" t="s">
        <v>77</v>
      </c>
    </row>
    <row r="27" spans="1:19" x14ac:dyDescent="0.25">
      <c r="A27" s="50" t="s">
        <v>87</v>
      </c>
      <c r="C27" s="1" t="s">
        <v>87</v>
      </c>
      <c r="E27" s="42" t="s">
        <v>87</v>
      </c>
      <c r="G27" s="1" t="s">
        <v>87</v>
      </c>
      <c r="I27" s="1" t="s">
        <v>87</v>
      </c>
      <c r="K27" s="7"/>
      <c r="O27" s="78" t="s">
        <v>47</v>
      </c>
      <c r="S27" s="76" t="s">
        <v>77</v>
      </c>
    </row>
    <row r="28" spans="1:19" ht="23.25" x14ac:dyDescent="0.25">
      <c r="A28" s="50" t="s">
        <v>87</v>
      </c>
      <c r="C28" s="1" t="s">
        <v>87</v>
      </c>
      <c r="E28" s="42" t="s">
        <v>87</v>
      </c>
      <c r="G28" s="1" t="s">
        <v>87</v>
      </c>
      <c r="I28" s="1" t="s">
        <v>87</v>
      </c>
      <c r="K28" s="7" t="s">
        <v>87</v>
      </c>
      <c r="O28" s="78" t="s">
        <v>130</v>
      </c>
      <c r="S28" s="76" t="s">
        <v>77</v>
      </c>
    </row>
    <row r="29" spans="1:19" ht="45.75" x14ac:dyDescent="0.25">
      <c r="A29" s="50" t="s">
        <v>87</v>
      </c>
      <c r="C29" s="1" t="s">
        <v>87</v>
      </c>
      <c r="E29" s="42" t="s">
        <v>154</v>
      </c>
      <c r="G29" s="1" t="s">
        <v>87</v>
      </c>
      <c r="I29" s="1" t="s">
        <v>87</v>
      </c>
      <c r="K29" s="7" t="s">
        <v>87</v>
      </c>
    </row>
    <row r="30" spans="1:19" x14ac:dyDescent="0.25">
      <c r="A30" s="50" t="s">
        <v>87</v>
      </c>
      <c r="C30" s="1" t="s">
        <v>87</v>
      </c>
      <c r="E30" s="42" t="s">
        <v>87</v>
      </c>
      <c r="G30" s="1" t="s">
        <v>87</v>
      </c>
      <c r="I30" s="1" t="s">
        <v>87</v>
      </c>
      <c r="K30" s="7" t="s">
        <v>87</v>
      </c>
    </row>
    <row r="31" spans="1:19" x14ac:dyDescent="0.25">
      <c r="A31" s="50" t="s">
        <v>87</v>
      </c>
      <c r="C31" s="1" t="s">
        <v>87</v>
      </c>
      <c r="E31" s="80" t="s">
        <v>87</v>
      </c>
      <c r="G31" s="1" t="s">
        <v>87</v>
      </c>
      <c r="I31" s="1" t="s">
        <v>87</v>
      </c>
      <c r="K31" s="7" t="s">
        <v>87</v>
      </c>
    </row>
    <row r="32" spans="1:19" x14ac:dyDescent="0.25">
      <c r="A32" s="50" t="s">
        <v>87</v>
      </c>
      <c r="C32" s="1" t="s">
        <v>87</v>
      </c>
      <c r="E32" s="80" t="s">
        <v>87</v>
      </c>
      <c r="G32" s="1" t="s">
        <v>87</v>
      </c>
      <c r="I32" s="1" t="s">
        <v>87</v>
      </c>
      <c r="K32" s="7" t="s">
        <v>87</v>
      </c>
    </row>
    <row r="33" spans="1:11" x14ac:dyDescent="0.25">
      <c r="A33" s="50" t="s">
        <v>87</v>
      </c>
      <c r="C33" s="1" t="s">
        <v>87</v>
      </c>
      <c r="E33" s="42" t="s">
        <v>87</v>
      </c>
      <c r="G33" s="1" t="s">
        <v>87</v>
      </c>
      <c r="I33" s="1" t="s">
        <v>87</v>
      </c>
      <c r="K33" s="7" t="s">
        <v>87</v>
      </c>
    </row>
    <row r="34" spans="1:11" x14ac:dyDescent="0.25">
      <c r="A34" s="50" t="s">
        <v>87</v>
      </c>
      <c r="C34" s="1" t="s">
        <v>87</v>
      </c>
      <c r="E34" s="42" t="s">
        <v>87</v>
      </c>
      <c r="G34" s="1" t="s">
        <v>87</v>
      </c>
      <c r="I34" s="1" t="s">
        <v>87</v>
      </c>
      <c r="K34" s="7" t="s">
        <v>87</v>
      </c>
    </row>
    <row r="35" spans="1:11" x14ac:dyDescent="0.25">
      <c r="A35" s="50" t="s">
        <v>87</v>
      </c>
      <c r="C35" s="1" t="s">
        <v>87</v>
      </c>
      <c r="E35" s="42" t="s">
        <v>87</v>
      </c>
      <c r="G35" s="1" t="s">
        <v>87</v>
      </c>
      <c r="I35" s="1" t="s">
        <v>87</v>
      </c>
      <c r="K35" s="7" t="s">
        <v>87</v>
      </c>
    </row>
    <row r="36" spans="1:11" ht="45.75" x14ac:dyDescent="0.25">
      <c r="A36" s="50" t="s">
        <v>87</v>
      </c>
      <c r="C36" s="1" t="s">
        <v>87</v>
      </c>
      <c r="E36" s="5" t="s">
        <v>21</v>
      </c>
      <c r="G36" s="1" t="s">
        <v>87</v>
      </c>
      <c r="I36" s="1" t="s">
        <v>87</v>
      </c>
      <c r="K36" s="7" t="s">
        <v>87</v>
      </c>
    </row>
    <row r="37" spans="1:11" ht="45.75" x14ac:dyDescent="0.25">
      <c r="A37" s="50" t="s">
        <v>87</v>
      </c>
      <c r="C37" s="1" t="s">
        <v>87</v>
      </c>
      <c r="E37" s="5" t="s">
        <v>21</v>
      </c>
      <c r="G37" s="1" t="s">
        <v>87</v>
      </c>
      <c r="I37" s="1" t="s">
        <v>87</v>
      </c>
      <c r="K37" s="7" t="s">
        <v>87</v>
      </c>
    </row>
    <row r="38" spans="1:11" ht="45.75" x14ac:dyDescent="0.25">
      <c r="A38" s="50" t="s">
        <v>87</v>
      </c>
      <c r="C38" s="1" t="s">
        <v>87</v>
      </c>
      <c r="E38" s="5" t="s">
        <v>21</v>
      </c>
      <c r="G38" s="1" t="s">
        <v>87</v>
      </c>
      <c r="I38" s="1" t="s">
        <v>87</v>
      </c>
      <c r="K38" s="7" t="s">
        <v>87</v>
      </c>
    </row>
    <row r="39" spans="1:11" ht="45.75" x14ac:dyDescent="0.25">
      <c r="A39" s="50" t="s">
        <v>87</v>
      </c>
      <c r="C39" s="1" t="s">
        <v>87</v>
      </c>
      <c r="E39" s="5" t="s">
        <v>21</v>
      </c>
      <c r="G39" s="1" t="s">
        <v>87</v>
      </c>
      <c r="I39" s="1" t="s">
        <v>87</v>
      </c>
      <c r="K39" s="7" t="s">
        <v>87</v>
      </c>
    </row>
    <row r="40" spans="1:11" ht="45.75" x14ac:dyDescent="0.25">
      <c r="A40" s="50" t="s">
        <v>87</v>
      </c>
      <c r="C40" s="1" t="s">
        <v>87</v>
      </c>
      <c r="E40" s="5" t="s">
        <v>21</v>
      </c>
      <c r="G40" s="1" t="s">
        <v>87</v>
      </c>
      <c r="I40" s="1" t="s">
        <v>87</v>
      </c>
      <c r="K40" s="7" t="s">
        <v>87</v>
      </c>
    </row>
    <row r="41" spans="1:11" ht="45.75" x14ac:dyDescent="0.25">
      <c r="A41" s="50" t="s">
        <v>87</v>
      </c>
      <c r="C41" s="1" t="s">
        <v>87</v>
      </c>
      <c r="E41" s="5" t="s">
        <v>21</v>
      </c>
      <c r="G41" s="32" t="s">
        <v>87</v>
      </c>
      <c r="I41" s="1" t="s">
        <v>87</v>
      </c>
      <c r="K41" s="7" t="s">
        <v>87</v>
      </c>
    </row>
    <row r="42" spans="1:11" ht="45.75" x14ac:dyDescent="0.25">
      <c r="A42" s="50" t="s">
        <v>87</v>
      </c>
      <c r="C42" s="1" t="s">
        <v>87</v>
      </c>
      <c r="E42" s="5" t="s">
        <v>21</v>
      </c>
      <c r="G42" s="42" t="s">
        <v>87</v>
      </c>
      <c r="I42" s="1" t="s">
        <v>87</v>
      </c>
      <c r="K42" s="7" t="s">
        <v>87</v>
      </c>
    </row>
    <row r="43" spans="1:11" ht="45.75" x14ac:dyDescent="0.25">
      <c r="A43" s="50" t="s">
        <v>87</v>
      </c>
      <c r="C43" s="1" t="s">
        <v>87</v>
      </c>
      <c r="E43" s="5" t="s">
        <v>21</v>
      </c>
      <c r="G43" s="1" t="s">
        <v>87</v>
      </c>
      <c r="I43" s="1"/>
      <c r="K43" s="68" t="s">
        <v>87</v>
      </c>
    </row>
    <row r="44" spans="1:11" ht="45.75" x14ac:dyDescent="0.25">
      <c r="A44" s="50" t="s">
        <v>87</v>
      </c>
      <c r="C44" s="1" t="s">
        <v>87</v>
      </c>
      <c r="E44" s="5" t="s">
        <v>21</v>
      </c>
      <c r="G44" s="1" t="s">
        <v>87</v>
      </c>
      <c r="I44" s="1" t="s">
        <v>87</v>
      </c>
      <c r="K44" s="7" t="s">
        <v>87</v>
      </c>
    </row>
    <row r="45" spans="1:11" ht="45.75" x14ac:dyDescent="0.25">
      <c r="A45" s="50" t="s">
        <v>87</v>
      </c>
      <c r="C45" s="1" t="s">
        <v>87</v>
      </c>
      <c r="E45" s="5" t="s">
        <v>21</v>
      </c>
      <c r="G45" s="72" t="s">
        <v>87</v>
      </c>
      <c r="I45" s="1" t="s">
        <v>87</v>
      </c>
      <c r="K45" s="7" t="s">
        <v>87</v>
      </c>
    </row>
    <row r="46" spans="1:11" ht="45.75" x14ac:dyDescent="0.25">
      <c r="A46" s="50" t="s">
        <v>87</v>
      </c>
      <c r="C46" s="32" t="s">
        <v>87</v>
      </c>
      <c r="E46" s="5" t="s">
        <v>21</v>
      </c>
      <c r="G46" s="1" t="s">
        <v>87</v>
      </c>
      <c r="I46" s="1" t="s">
        <v>87</v>
      </c>
      <c r="K46" s="7" t="s">
        <v>87</v>
      </c>
    </row>
    <row r="47" spans="1:11" ht="45.75" x14ac:dyDescent="0.25">
      <c r="A47" s="50" t="s">
        <v>87</v>
      </c>
      <c r="C47" s="42" t="s">
        <v>87</v>
      </c>
      <c r="E47" s="5" t="s">
        <v>21</v>
      </c>
      <c r="G47" s="1" t="s">
        <v>87</v>
      </c>
      <c r="I47" s="1" t="s">
        <v>87</v>
      </c>
      <c r="K47" s="7" t="s">
        <v>87</v>
      </c>
    </row>
    <row r="48" spans="1:11" ht="45.75" x14ac:dyDescent="0.25">
      <c r="A48" s="50" t="s">
        <v>87</v>
      </c>
      <c r="C48" s="1" t="s">
        <v>87</v>
      </c>
      <c r="E48" s="5" t="s">
        <v>21</v>
      </c>
      <c r="G48" s="1" t="s">
        <v>87</v>
      </c>
      <c r="I48" s="1" t="s">
        <v>87</v>
      </c>
      <c r="K48" s="7" t="s">
        <v>87</v>
      </c>
    </row>
    <row r="49" spans="1:11" ht="45.75" x14ac:dyDescent="0.25">
      <c r="A49" s="50" t="s">
        <v>87</v>
      </c>
      <c r="C49" s="1" t="s">
        <v>87</v>
      </c>
      <c r="E49" s="5" t="s">
        <v>21</v>
      </c>
      <c r="G49" s="1" t="s">
        <v>87</v>
      </c>
      <c r="I49" s="1" t="s">
        <v>87</v>
      </c>
      <c r="K49" s="7" t="s">
        <v>87</v>
      </c>
    </row>
    <row r="50" spans="1:11" ht="45.75" x14ac:dyDescent="0.25">
      <c r="A50" s="50" t="s">
        <v>87</v>
      </c>
      <c r="C50" s="1" t="s">
        <v>87</v>
      </c>
      <c r="E50" s="5" t="s">
        <v>21</v>
      </c>
      <c r="G50" s="1" t="s">
        <v>87</v>
      </c>
      <c r="I50" s="1" t="s">
        <v>87</v>
      </c>
      <c r="K50" s="74" t="s">
        <v>87</v>
      </c>
    </row>
    <row r="51" spans="1:11" ht="45.75" x14ac:dyDescent="0.25">
      <c r="A51" s="50" t="s">
        <v>87</v>
      </c>
      <c r="C51" s="1" t="s">
        <v>87</v>
      </c>
      <c r="E51" s="5" t="s">
        <v>21</v>
      </c>
      <c r="G51" s="1" t="s">
        <v>87</v>
      </c>
      <c r="I51" s="42" t="s">
        <v>87</v>
      </c>
      <c r="K51" s="1" t="s">
        <v>87</v>
      </c>
    </row>
    <row r="52" spans="1:11" ht="45.75" x14ac:dyDescent="0.25">
      <c r="A52" s="50" t="s">
        <v>87</v>
      </c>
      <c r="C52" s="1" t="s">
        <v>87</v>
      </c>
      <c r="E52" s="5" t="s">
        <v>21</v>
      </c>
      <c r="G52" s="1" t="s">
        <v>87</v>
      </c>
      <c r="I52" s="1" t="s">
        <v>87</v>
      </c>
      <c r="K52" s="1" t="s">
        <v>87</v>
      </c>
    </row>
    <row r="53" spans="1:11" ht="45.75" x14ac:dyDescent="0.25">
      <c r="A53" s="50" t="s">
        <v>87</v>
      </c>
      <c r="C53" s="72" t="s">
        <v>87</v>
      </c>
      <c r="E53" s="5" t="s">
        <v>21</v>
      </c>
      <c r="G53" s="1" t="s">
        <v>87</v>
      </c>
      <c r="I53" s="1" t="s">
        <v>87</v>
      </c>
      <c r="K53" s="1" t="s">
        <v>87</v>
      </c>
    </row>
    <row r="54" spans="1:11" ht="124.5" x14ac:dyDescent="0.25">
      <c r="A54" s="50" t="s">
        <v>87</v>
      </c>
      <c r="C54" s="1" t="s">
        <v>87</v>
      </c>
      <c r="E54" s="5" t="s">
        <v>35</v>
      </c>
      <c r="G54" s="1" t="s">
        <v>87</v>
      </c>
      <c r="I54" s="1" t="s">
        <v>87</v>
      </c>
      <c r="K54" s="42" t="s">
        <v>87</v>
      </c>
    </row>
    <row r="55" spans="1:11" ht="45.75" x14ac:dyDescent="0.25">
      <c r="A55" s="50" t="s">
        <v>87</v>
      </c>
      <c r="C55" s="32"/>
      <c r="E55" s="5" t="s">
        <v>21</v>
      </c>
      <c r="G55" s="42" t="s">
        <v>87</v>
      </c>
      <c r="I55" s="72" t="s">
        <v>87</v>
      </c>
      <c r="K55" s="42" t="s">
        <v>87</v>
      </c>
    </row>
    <row r="56" spans="1:11" ht="45.75" x14ac:dyDescent="0.25">
      <c r="A56" s="50" t="s">
        <v>87</v>
      </c>
      <c r="C56" s="1" t="s">
        <v>87</v>
      </c>
      <c r="E56" s="5" t="s">
        <v>21</v>
      </c>
      <c r="G56" s="42" t="s">
        <v>87</v>
      </c>
      <c r="I56" s="1" t="s">
        <v>87</v>
      </c>
      <c r="K56" s="42" t="s">
        <v>87</v>
      </c>
    </row>
    <row r="57" spans="1:11" ht="45.75" x14ac:dyDescent="0.25">
      <c r="A57" s="50" t="s">
        <v>87</v>
      </c>
      <c r="C57" s="32" t="s">
        <v>87</v>
      </c>
      <c r="E57" s="5" t="s">
        <v>21</v>
      </c>
      <c r="G57" s="42" t="s">
        <v>87</v>
      </c>
      <c r="I57" s="1" t="s">
        <v>87</v>
      </c>
      <c r="K57" s="80" t="s">
        <v>87</v>
      </c>
    </row>
    <row r="58" spans="1:11" ht="45.75" x14ac:dyDescent="0.25">
      <c r="A58" s="50" t="s">
        <v>87</v>
      </c>
      <c r="C58" s="1" t="s">
        <v>87</v>
      </c>
      <c r="E58" s="5" t="s">
        <v>21</v>
      </c>
      <c r="G58" s="42" t="s">
        <v>87</v>
      </c>
      <c r="I58" s="1" t="s">
        <v>87</v>
      </c>
      <c r="K58" s="42" t="s">
        <v>87</v>
      </c>
    </row>
    <row r="59" spans="1:11" ht="124.5" x14ac:dyDescent="0.25">
      <c r="A59" s="50" t="s">
        <v>87</v>
      </c>
      <c r="C59" s="1" t="s">
        <v>87</v>
      </c>
      <c r="E59" s="5" t="s">
        <v>48</v>
      </c>
      <c r="G59" s="42" t="s">
        <v>155</v>
      </c>
      <c r="I59" s="1" t="s">
        <v>87</v>
      </c>
      <c r="K59" s="42" t="s">
        <v>87</v>
      </c>
    </row>
    <row r="60" spans="1:11" ht="124.5" x14ac:dyDescent="0.25">
      <c r="A60" s="50" t="s">
        <v>87</v>
      </c>
      <c r="C60" s="1" t="s">
        <v>87</v>
      </c>
      <c r="E60" s="27" t="s">
        <v>53</v>
      </c>
      <c r="G60" s="42" t="s">
        <v>87</v>
      </c>
      <c r="I60" s="1" t="s">
        <v>87</v>
      </c>
      <c r="K60" s="4" t="s">
        <v>16</v>
      </c>
    </row>
    <row r="61" spans="1:11" ht="90.75" x14ac:dyDescent="0.25">
      <c r="A61" s="50" t="s">
        <v>87</v>
      </c>
      <c r="C61" s="1" t="s">
        <v>87</v>
      </c>
      <c r="E61" s="5" t="s">
        <v>21</v>
      </c>
      <c r="G61" s="80" t="s">
        <v>87</v>
      </c>
      <c r="I61" s="1" t="s">
        <v>87</v>
      </c>
      <c r="K61" s="10" t="s">
        <v>29</v>
      </c>
    </row>
    <row r="62" spans="1:11" ht="90.75" x14ac:dyDescent="0.25">
      <c r="A62" s="50" t="s">
        <v>87</v>
      </c>
      <c r="C62" s="1" t="s">
        <v>87</v>
      </c>
      <c r="E62" s="65" t="s">
        <v>59</v>
      </c>
      <c r="G62" s="80" t="s">
        <v>87</v>
      </c>
      <c r="I62" s="1" t="s">
        <v>87</v>
      </c>
      <c r="K62" s="10" t="s">
        <v>29</v>
      </c>
    </row>
    <row r="63" spans="1:11" ht="147" x14ac:dyDescent="0.25">
      <c r="A63" s="50" t="s">
        <v>87</v>
      </c>
      <c r="C63" s="1" t="s">
        <v>87</v>
      </c>
      <c r="E63" s="65" t="s">
        <v>59</v>
      </c>
      <c r="G63" s="42" t="s">
        <v>87</v>
      </c>
      <c r="I63" s="1" t="s">
        <v>87</v>
      </c>
      <c r="K63" s="4" t="s">
        <v>36</v>
      </c>
    </row>
    <row r="64" spans="1:11" ht="169.5" x14ac:dyDescent="0.25">
      <c r="A64" s="66" t="s">
        <v>87</v>
      </c>
      <c r="C64" s="1" t="s">
        <v>87</v>
      </c>
      <c r="E64" s="65" t="s">
        <v>59</v>
      </c>
      <c r="G64" s="42" t="s">
        <v>87</v>
      </c>
      <c r="I64" s="42" t="s">
        <v>87</v>
      </c>
      <c r="K64" s="10" t="s">
        <v>40</v>
      </c>
    </row>
    <row r="65" spans="1:11" ht="102" x14ac:dyDescent="0.25">
      <c r="A65" s="67" t="s">
        <v>87</v>
      </c>
      <c r="C65" s="42" t="s">
        <v>87</v>
      </c>
      <c r="E65" s="34" t="s">
        <v>73</v>
      </c>
      <c r="G65" s="42" t="s">
        <v>87</v>
      </c>
      <c r="I65" s="42" t="s">
        <v>87</v>
      </c>
      <c r="K65" s="10" t="s">
        <v>18</v>
      </c>
    </row>
    <row r="66" spans="1:11" ht="102" x14ac:dyDescent="0.25">
      <c r="A66" s="50" t="s">
        <v>87</v>
      </c>
      <c r="C66" s="42" t="s">
        <v>87</v>
      </c>
      <c r="E66" s="77" t="s">
        <v>95</v>
      </c>
      <c r="G66" s="6" t="s">
        <v>41</v>
      </c>
      <c r="I66" s="42" t="s">
        <v>87</v>
      </c>
      <c r="K66" s="4" t="s">
        <v>49</v>
      </c>
    </row>
    <row r="67" spans="1:11" ht="282" x14ac:dyDescent="0.25">
      <c r="A67" s="50" t="s">
        <v>87</v>
      </c>
      <c r="C67" s="42" t="s">
        <v>87</v>
      </c>
      <c r="E67" s="77" t="s">
        <v>95</v>
      </c>
      <c r="G67" s="63" t="s">
        <v>90</v>
      </c>
      <c r="I67" s="42" t="s">
        <v>87</v>
      </c>
      <c r="K67" s="28" t="s">
        <v>52</v>
      </c>
    </row>
    <row r="68" spans="1:11" ht="282" x14ac:dyDescent="0.25">
      <c r="A68" s="50" t="s">
        <v>87</v>
      </c>
      <c r="C68" s="42" t="s">
        <v>87</v>
      </c>
      <c r="E68" s="77" t="s">
        <v>95</v>
      </c>
      <c r="G68" s="27" t="s">
        <v>51</v>
      </c>
      <c r="I68" s="80" t="s">
        <v>87</v>
      </c>
      <c r="K68" s="4" t="s">
        <v>11</v>
      </c>
    </row>
    <row r="69" spans="1:11" ht="282" x14ac:dyDescent="0.25">
      <c r="A69" s="50" t="s">
        <v>87</v>
      </c>
      <c r="C69" s="42" t="s">
        <v>154</v>
      </c>
      <c r="E69" s="77" t="s">
        <v>136</v>
      </c>
      <c r="G69" s="27" t="s">
        <v>53</v>
      </c>
      <c r="I69" s="80" t="s">
        <v>87</v>
      </c>
      <c r="K69" s="28" t="s">
        <v>52</v>
      </c>
    </row>
    <row r="70" spans="1:11" ht="102" x14ac:dyDescent="0.25">
      <c r="A70" s="71" t="s">
        <v>87</v>
      </c>
      <c r="C70" s="42" t="s">
        <v>87</v>
      </c>
      <c r="E70" s="77" t="s">
        <v>150</v>
      </c>
      <c r="G70" s="5" t="s">
        <v>54</v>
      </c>
      <c r="I70" s="42" t="s">
        <v>87</v>
      </c>
      <c r="K70" s="4" t="s">
        <v>58</v>
      </c>
    </row>
    <row r="71" spans="1:11" ht="147" x14ac:dyDescent="0.25">
      <c r="A71" s="50" t="s">
        <v>110</v>
      </c>
      <c r="C71" s="42" t="s">
        <v>87</v>
      </c>
      <c r="G71" s="5" t="s">
        <v>56</v>
      </c>
      <c r="I71" s="42" t="s">
        <v>87</v>
      </c>
      <c r="K71" s="30" t="s">
        <v>61</v>
      </c>
    </row>
    <row r="72" spans="1:11" ht="90.75" x14ac:dyDescent="0.25">
      <c r="A72" s="50" t="s">
        <v>87</v>
      </c>
      <c r="C72" s="42" t="s">
        <v>87</v>
      </c>
      <c r="G72" s="6" t="s">
        <v>41</v>
      </c>
      <c r="I72" s="6" t="s">
        <v>27</v>
      </c>
      <c r="K72" s="36" t="s">
        <v>61</v>
      </c>
    </row>
    <row r="73" spans="1:11" ht="237" x14ac:dyDescent="0.25">
      <c r="A73" s="50" t="s">
        <v>87</v>
      </c>
      <c r="C73" s="80" t="s">
        <v>87</v>
      </c>
      <c r="G73" s="69" t="s">
        <v>65</v>
      </c>
      <c r="I73" s="6" t="s">
        <v>27</v>
      </c>
      <c r="K73" s="36" t="s">
        <v>61</v>
      </c>
    </row>
    <row r="74" spans="1:11" ht="90.75" x14ac:dyDescent="0.25">
      <c r="A74" s="50" t="s">
        <v>87</v>
      </c>
      <c r="C74" s="80" t="s">
        <v>87</v>
      </c>
      <c r="G74" s="65" t="s">
        <v>95</v>
      </c>
      <c r="I74" s="6" t="s">
        <v>27</v>
      </c>
      <c r="K74" s="36" t="s">
        <v>61</v>
      </c>
    </row>
    <row r="75" spans="1:11" ht="102" x14ac:dyDescent="0.25">
      <c r="A75" s="66" t="s">
        <v>87</v>
      </c>
      <c r="C75" s="42" t="s">
        <v>87</v>
      </c>
      <c r="G75" s="5" t="s">
        <v>111</v>
      </c>
      <c r="I75" s="6" t="s">
        <v>27</v>
      </c>
      <c r="K75" s="4" t="s">
        <v>58</v>
      </c>
    </row>
    <row r="76" spans="1:11" ht="113.25" x14ac:dyDescent="0.25">
      <c r="A76" s="50" t="s">
        <v>87</v>
      </c>
      <c r="C76" s="42" t="s">
        <v>87</v>
      </c>
      <c r="G76" s="5" t="s">
        <v>111</v>
      </c>
      <c r="I76" s="6" t="s">
        <v>22</v>
      </c>
      <c r="K76" s="4" t="s">
        <v>58</v>
      </c>
    </row>
    <row r="77" spans="1:11" ht="68.25" x14ac:dyDescent="0.25">
      <c r="A77" s="50" t="s">
        <v>87</v>
      </c>
      <c r="C77" s="42" t="s">
        <v>87</v>
      </c>
      <c r="I77" s="6" t="s">
        <v>89</v>
      </c>
      <c r="K77" s="35" t="s">
        <v>74</v>
      </c>
    </row>
    <row r="78" spans="1:11" ht="113.25" x14ac:dyDescent="0.25">
      <c r="A78" s="71" t="s">
        <v>87</v>
      </c>
      <c r="I78" s="6" t="s">
        <v>22</v>
      </c>
      <c r="K78" s="77" t="s">
        <v>61</v>
      </c>
    </row>
    <row r="79" spans="1:11" ht="113.25" x14ac:dyDescent="0.25">
      <c r="A79" s="1" t="s">
        <v>87</v>
      </c>
      <c r="I79" s="6" t="s">
        <v>22</v>
      </c>
      <c r="K79" s="77" t="s">
        <v>61</v>
      </c>
    </row>
    <row r="80" spans="1:11" ht="113.25" x14ac:dyDescent="0.25">
      <c r="A80" s="1" t="s">
        <v>87</v>
      </c>
      <c r="I80" s="6" t="s">
        <v>22</v>
      </c>
      <c r="K80" s="77" t="s">
        <v>141</v>
      </c>
    </row>
    <row r="81" spans="1:9" ht="315.75" x14ac:dyDescent="0.25">
      <c r="A81" s="1" t="s">
        <v>87</v>
      </c>
      <c r="I81" s="69" t="s">
        <v>66</v>
      </c>
    </row>
    <row r="82" spans="1:9" ht="90.75" x14ac:dyDescent="0.25">
      <c r="A82" s="1" t="s">
        <v>87</v>
      </c>
      <c r="I82" s="65" t="s">
        <v>88</v>
      </c>
    </row>
    <row r="83" spans="1:9" ht="90.75" x14ac:dyDescent="0.25">
      <c r="A83" s="1" t="s">
        <v>87</v>
      </c>
      <c r="I83" s="77" t="s">
        <v>88</v>
      </c>
    </row>
    <row r="84" spans="1:9" ht="90.75" x14ac:dyDescent="0.25">
      <c r="A84" s="42" t="s">
        <v>87</v>
      </c>
      <c r="I84" s="77" t="s">
        <v>88</v>
      </c>
    </row>
    <row r="85" spans="1:9" ht="90.75" x14ac:dyDescent="0.25">
      <c r="A85" s="42" t="s">
        <v>87</v>
      </c>
      <c r="I85" s="77" t="s">
        <v>88</v>
      </c>
    </row>
    <row r="86" spans="1:9" ht="113.25" x14ac:dyDescent="0.25">
      <c r="A86" s="42" t="s">
        <v>87</v>
      </c>
      <c r="I86" s="77" t="s">
        <v>138</v>
      </c>
    </row>
    <row r="87" spans="1:9" ht="57" x14ac:dyDescent="0.25">
      <c r="A87" s="42" t="s">
        <v>87</v>
      </c>
      <c r="I87" s="77" t="s">
        <v>151</v>
      </c>
    </row>
    <row r="88" spans="1:9" x14ac:dyDescent="0.25">
      <c r="A88" s="42" t="s">
        <v>87</v>
      </c>
    </row>
    <row r="89" spans="1:9" x14ac:dyDescent="0.25">
      <c r="A89" s="42" t="s">
        <v>87</v>
      </c>
    </row>
    <row r="90" spans="1:9" x14ac:dyDescent="0.25">
      <c r="A90" s="80" t="s">
        <v>87</v>
      </c>
    </row>
    <row r="91" spans="1:9" x14ac:dyDescent="0.25">
      <c r="A91" s="80" t="s">
        <v>87</v>
      </c>
    </row>
    <row r="92" spans="1:9" x14ac:dyDescent="0.25">
      <c r="A92" s="42" t="s">
        <v>87</v>
      </c>
    </row>
    <row r="93" spans="1:9" x14ac:dyDescent="0.25">
      <c r="A93" s="42" t="s">
        <v>87</v>
      </c>
    </row>
    <row r="94" spans="1:9" x14ac:dyDescent="0.25">
      <c r="A94" s="42" t="s">
        <v>87</v>
      </c>
    </row>
    <row r="95" spans="1:9" x14ac:dyDescent="0.25">
      <c r="A95" s="42" t="s">
        <v>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UCLA Anesthesiology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Shrestha, Vikesh</dc:creator>
  <cp:lastModifiedBy>Information Technology</cp:lastModifiedBy>
  <dcterms:created xsi:type="dcterms:W3CDTF">2019-01-15T22:24:13Z</dcterms:created>
  <dcterms:modified xsi:type="dcterms:W3CDTF">2020-04-01T23:05:49Z</dcterms:modified>
</cp:coreProperties>
</file>